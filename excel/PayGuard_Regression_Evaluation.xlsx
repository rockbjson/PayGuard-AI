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efficients" sheetId="2" state="visible" r:id="rId2"/>
    <sheet name="Live Scorer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11295B"/>
      <sz val="12"/>
    </font>
    <font>
      <name val="Arial"/>
      <color rgb="00000000"/>
      <sz val="10"/>
    </font>
    <font>
      <name val="Arial"/>
      <b val="1"/>
      <color rgb="0011295B"/>
      <sz val="11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color rgb="00B3392C"/>
      <sz val="9"/>
    </font>
    <font>
      <name val="Arial"/>
      <i val="1"/>
      <color rgb="002E7D32"/>
      <sz val="9"/>
    </font>
    <font>
      <name val="Arial"/>
      <b val="1"/>
      <color rgb="000000FF"/>
      <sz val="10"/>
    </font>
    <font>
      <name val="Arial"/>
      <b val="1"/>
      <color rgb="00FFFFFF"/>
      <sz val="12"/>
    </font>
    <font>
      <name val="Arial"/>
      <color rgb="000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1295B"/>
      </patternFill>
    </fill>
    <fill>
      <patternFill patternType="solid">
        <fgColor rgb="00E8541E"/>
      </patternFill>
    </fill>
    <fill>
      <patternFill patternType="solid">
        <fgColor rgb="00FFF6D5"/>
      </patternFill>
    </fill>
    <fill>
      <patternFill patternType="solid">
        <fgColor rgb="00FDE7E3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4" fontId="9" fillId="4" borderId="1" pivotButton="0" quotePrefix="0" xfId="0"/>
    <xf numFmtId="2" fontId="4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2" fontId="12" fillId="4" borderId="1" pivotButton="0" quotePrefix="0" xfId="0"/>
    <xf numFmtId="164" fontId="8" fillId="0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165" fontId="13" fillId="3" borderId="1" pivotButton="0" quotePrefix="0" xfId="0"/>
    <xf numFmtId="2" fontId="14" fillId="0" borderId="1" applyAlignment="1" pivotButton="0" quotePrefix="0" xfId="0">
      <alignment horizontal="center" vertical="center"/>
    </xf>
    <xf numFmtId="1" fontId="14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" fontId="1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4" customWidth="1" min="2" max="2"/>
    <col width="16" customWidth="1" min="3" max="3"/>
  </cols>
  <sheetData>
    <row r="1" ht="30" customHeight="1">
      <c r="A1" s="1" t="inlineStr">
        <is>
          <t>flydubai  |  PayGuard AI</t>
        </is>
      </c>
    </row>
    <row r="2" ht="22" customHeight="1">
      <c r="A2" s="2" t="inlineStr">
        <is>
          <t>Logistic Regression Evaluation — Coefficients, Odds Ratios &amp; Live Scorer</t>
        </is>
      </c>
    </row>
    <row r="4">
      <c r="A4" s="3" t="inlineStr">
        <is>
          <t>Purpose</t>
        </is>
      </c>
    </row>
    <row r="5">
      <c r="A5" s="4" t="inlineStr">
        <is>
          <t>•  Interpretable supervised benchmark: L2-penalised logistic regression on 8 engineered features.</t>
        </is>
      </c>
    </row>
    <row r="6">
      <c r="A6" s="4" t="inlineStr">
        <is>
          <t>•  Sheet 'Coefficients': fitted log-odds coefficients, odds ratios and 95% bootstrap CIs.</t>
        </is>
      </c>
    </row>
    <row r="7">
      <c r="A7" s="4" t="inlineStr">
        <is>
          <t>•  Sheet 'Live Scorer': enter a transaction's raw features -&gt; get a predicted anomaly probability.</t>
        </is>
      </c>
    </row>
    <row r="8">
      <c r="A8" s="4" t="inlineStr">
        <is>
          <t>•  Sheet 'Validation': 40 held-out payments with model probabilities vs. true labels.</t>
        </is>
      </c>
    </row>
    <row r="9">
      <c r="A9" s="4" t="inlineStr">
        <is>
          <t>•  Coefficients were fitted in Python (ridge, C=1.0) and are shown as editable cells so you can</t>
        </is>
      </c>
    </row>
    <row r="10">
      <c r="A10" s="4" t="inlineStr">
        <is>
          <t>•  stress-test 'what-if' coefficient changes; the scorer recomputes live.</t>
        </is>
      </c>
    </row>
    <row r="11">
      <c r="A11" s="4" t="inlineStr">
        <is>
          <t>•  All data synthetic; two flags (bank change, currency mismatch) are near-perfect separators.</t>
        </is>
      </c>
    </row>
    <row r="13">
      <c r="A13" s="5" t="inlineStr">
        <is>
          <t>Model performance (held-out test set)</t>
        </is>
      </c>
    </row>
    <row r="14">
      <c r="A14" s="6" t="inlineStr">
        <is>
          <t>Test AUC</t>
        </is>
      </c>
      <c r="C14" s="7" t="n">
        <v>0.8889411027568923</v>
      </c>
    </row>
    <row r="15">
      <c r="A15" s="6" t="inlineStr">
        <is>
          <t>Average precision</t>
        </is>
      </c>
      <c r="C15" s="7" t="n">
        <v>0.7660479618586562</v>
      </c>
    </row>
    <row r="16">
      <c r="A16" s="6" t="inlineStr">
        <is>
          <t>McFadden pseudo-R²</t>
        </is>
      </c>
      <c r="C16" s="7" t="n">
        <v>0.4687462901066497</v>
      </c>
    </row>
    <row r="17">
      <c r="A17" s="6" t="inlineStr">
        <is>
          <t>Train / test rows</t>
        </is>
      </c>
      <c r="C17" s="8" t="n">
        <v>3920</v>
      </c>
    </row>
    <row r="18">
      <c r="A18" s="9" t="inlineStr">
        <is>
          <t>Legend:  blue text = editable input   •   yellow fill = key assumption / lever   •   black = formula (recalculates)   •   Press F9 to re-simulate.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2" customWidth="1" min="4" max="4"/>
    <col width="12" customWidth="1" min="5" max="5"/>
    <col width="20" customWidth="1" min="6" max="6"/>
  </cols>
  <sheetData>
    <row r="1" ht="30" customHeight="1">
      <c r="A1" s="1" t="inlineStr">
        <is>
          <t>flydubai  |  PayGuard AI</t>
        </is>
      </c>
    </row>
    <row r="2" ht="22" customHeight="1">
      <c r="A2" s="2" t="inlineStr">
        <is>
          <t>Logistic Regression — Coefficients &amp; Odds Ratios</t>
        </is>
      </c>
    </row>
    <row r="4">
      <c r="A4" s="10" t="inlineStr">
        <is>
          <t>Feature</t>
        </is>
      </c>
      <c r="B4" s="10" t="inlineStr">
        <is>
          <t>Coefficient (log-odds)</t>
        </is>
      </c>
      <c r="C4" s="10" t="inlineStr">
        <is>
          <t>Odds ratio</t>
        </is>
      </c>
      <c r="D4" s="10" t="inlineStr">
        <is>
          <t>95% CI low</t>
        </is>
      </c>
      <c r="E4" s="10" t="inlineStr">
        <is>
          <t>95% CI high</t>
        </is>
      </c>
      <c r="F4" s="10" t="inlineStr">
        <is>
          <t>Interpretation</t>
        </is>
      </c>
    </row>
    <row r="5">
      <c r="A5" s="11" t="inlineStr">
        <is>
          <t>currency_mismatch</t>
        </is>
      </c>
      <c r="B5" s="12" t="n">
        <v>5.829593526023575</v>
      </c>
      <c r="C5" s="13">
        <f>EXP(B5)</f>
        <v/>
      </c>
      <c r="D5" s="13">
        <f>EXP(5.265405906891106)</f>
        <v/>
      </c>
      <c r="E5" s="13">
        <f>EXP(6.30718068540333)</f>
        <v/>
      </c>
      <c r="F5" s="14" t="inlineStr">
        <is>
          <t>Strong risk ↑</t>
        </is>
      </c>
    </row>
    <row r="6">
      <c r="A6" s="11" t="inlineStr">
        <is>
          <t>bank_change</t>
        </is>
      </c>
      <c r="B6" s="12" t="n">
        <v>5.770917631675059</v>
      </c>
      <c r="C6" s="13">
        <f>EXP(B6)</f>
        <v/>
      </c>
      <c r="D6" s="13">
        <f>EXP(5.211704104179918)</f>
        <v/>
      </c>
      <c r="E6" s="13">
        <f>EXP(6.2280544772589215)</f>
        <v/>
      </c>
      <c r="F6" s="14" t="inlineStr">
        <is>
          <t>Strong risk ↑</t>
        </is>
      </c>
    </row>
    <row r="7">
      <c r="A7" s="11" t="inlineStr">
        <is>
          <t>paid_to_invoice</t>
        </is>
      </c>
      <c r="B7" s="12" t="n">
        <v>1.718790932007807</v>
      </c>
      <c r="C7" s="13">
        <f>EXP(B7)</f>
        <v/>
      </c>
      <c r="D7" s="13">
        <f>EXP(1.228687168589716)</f>
        <v/>
      </c>
      <c r="E7" s="13">
        <f>EXP(1.948289743182359)</f>
        <v/>
      </c>
      <c r="F7" s="14" t="inlineStr">
        <is>
          <t>Strong risk ↑</t>
        </is>
      </c>
    </row>
    <row r="8">
      <c r="A8" s="11" t="inlineStr">
        <is>
          <t>invoice_to_po</t>
        </is>
      </c>
      <c r="B8" s="12" t="n">
        <v>0.6792282108471633</v>
      </c>
      <c r="C8" s="13">
        <f>EXP(B8)</f>
        <v/>
      </c>
      <c r="D8" s="13">
        <f>EXP(0.5011358149004893)</f>
        <v/>
      </c>
      <c r="E8" s="13">
        <f>EXP(0.8281007449647154)</f>
        <v/>
      </c>
      <c r="F8" s="14" t="inlineStr">
        <is>
          <t>Risk ↑</t>
        </is>
      </c>
    </row>
    <row r="9">
      <c r="A9" s="11" t="inlineStr">
        <is>
          <t>weekend</t>
        </is>
      </c>
      <c r="B9" s="12" t="n">
        <v>0.1353066318828206</v>
      </c>
      <c r="C9" s="13">
        <f>EXP(B9)</f>
        <v/>
      </c>
      <c r="D9" s="13">
        <f>EXP(-0.2166223034210482)</f>
        <v/>
      </c>
      <c r="E9" s="13">
        <f>EXP(0.4591966641482143)</f>
        <v/>
      </c>
      <c r="F9" s="14" t="inlineStr">
        <is>
          <t>Risk ↑</t>
        </is>
      </c>
    </row>
    <row r="10">
      <c r="A10" s="11" t="inlineStr">
        <is>
          <t>days_to_pay</t>
        </is>
      </c>
      <c r="B10" s="12" t="n">
        <v>0.07274033171855543</v>
      </c>
      <c r="C10" s="13">
        <f>EXP(B10)</f>
        <v/>
      </c>
      <c r="D10" s="13">
        <f>EXP(-0.15096638194880804)</f>
        <v/>
      </c>
      <c r="E10" s="13">
        <f>EXP(0.2624973141646307)</f>
        <v/>
      </c>
      <c r="F10" s="14" t="inlineStr">
        <is>
          <t>Risk ↑</t>
        </is>
      </c>
    </row>
    <row r="11">
      <c r="A11" s="11" t="inlineStr">
        <is>
          <t>log_amount</t>
        </is>
      </c>
      <c r="B11" s="12" t="n">
        <v>-0.009897191138342525</v>
      </c>
      <c r="C11" s="13">
        <f>EXP(B11)</f>
        <v/>
      </c>
      <c r="D11" s="13">
        <f>EXP(-0.18548626667320914)</f>
        <v/>
      </c>
      <c r="E11" s="13">
        <f>EXP(0.1672604547537036)</f>
        <v/>
      </c>
      <c r="F11" s="15" t="inlineStr">
        <is>
          <t>~neutral</t>
        </is>
      </c>
    </row>
    <row r="12">
      <c r="A12" s="11" t="inlineStr">
        <is>
          <t>terms_deviation</t>
        </is>
      </c>
      <c r="B12" s="12" t="n">
        <v>-0.7506163611760823</v>
      </c>
      <c r="C12" s="13">
        <f>EXP(B12)</f>
        <v/>
      </c>
      <c r="D12" s="13">
        <f>EXP(-0.9147159270377859)</f>
        <v/>
      </c>
      <c r="E12" s="13">
        <f>EXP(-0.590410064430382)</f>
        <v/>
      </c>
      <c r="F12" s="16" t="inlineStr">
        <is>
          <t>Protective</t>
        </is>
      </c>
    </row>
    <row r="14">
      <c r="A14" s="11" t="inlineStr">
        <is>
          <t>Intercept</t>
        </is>
      </c>
      <c r="B14" s="12" t="n">
        <v>-3.825271096437415</v>
      </c>
    </row>
    <row r="16">
      <c r="A16" s="9" t="inlineStr">
        <is>
          <t>Yellow coefficient cells are editable — change one and the Live Scorer updates.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flydubai  |  PayGuard AI</t>
        </is>
      </c>
    </row>
    <row r="2" ht="22" customHeight="1">
      <c r="A2" s="2" t="inlineStr">
        <is>
          <t>Live Scorer — Predicted Anomaly Probability</t>
        </is>
      </c>
    </row>
    <row r="4">
      <c r="A4" s="9" t="inlineStr">
        <is>
          <t>Enter a transaction's RAW feature values (blue). The model standardises, applies coefficients, and returns a probability.</t>
        </is>
      </c>
    </row>
    <row r="6">
      <c r="A6" s="10" t="inlineStr">
        <is>
          <t>Feature</t>
        </is>
      </c>
      <c r="B6" s="10" t="inlineStr">
        <is>
          <t>Your input (raw)</t>
        </is>
      </c>
      <c r="C6" s="10" t="inlineStr">
        <is>
          <t>Standardised</t>
        </is>
      </c>
      <c r="D6" s="10" t="inlineStr">
        <is>
          <t>Coefficient</t>
        </is>
      </c>
      <c r="E6" s="10" t="inlineStr">
        <is>
          <t>Contribution</t>
        </is>
      </c>
    </row>
    <row r="7">
      <c r="A7" s="11" t="inlineStr">
        <is>
          <t>log_amount</t>
        </is>
      </c>
      <c r="B7" s="17" t="n">
        <v>9</v>
      </c>
      <c r="C7" s="7">
        <f>(B7-8.720498965543623)/1.220531874270108</f>
        <v/>
      </c>
      <c r="D7" s="7">
        <f>Coefficients!$B$11</f>
        <v/>
      </c>
      <c r="E7" s="7">
        <f>C7*D7</f>
        <v/>
      </c>
    </row>
    <row r="8">
      <c r="A8" s="11" t="inlineStr">
        <is>
          <t>paid_to_invoice</t>
        </is>
      </c>
      <c r="B8" s="17" t="n">
        <v>1.15</v>
      </c>
      <c r="C8" s="7">
        <f>(B8-1.002435851264447)/0.03373411431956079</f>
        <v/>
      </c>
      <c r="D8" s="7">
        <f>Coefficients!$B$7</f>
        <v/>
      </c>
      <c r="E8" s="7">
        <f>C8*D8</f>
        <v/>
      </c>
    </row>
    <row r="9">
      <c r="A9" s="11" t="inlineStr">
        <is>
          <t>invoice_to_po</t>
        </is>
      </c>
      <c r="B9" s="17" t="n">
        <v>1.2</v>
      </c>
      <c r="C9" s="7">
        <f>(B9-0.8619569596970676)/0.0886075508637679</f>
        <v/>
      </c>
      <c r="D9" s="7">
        <f>Coefficients!$B$8</f>
        <v/>
      </c>
      <c r="E9" s="7">
        <f>C9*D9</f>
        <v/>
      </c>
    </row>
    <row r="10">
      <c r="A10" s="11" t="inlineStr">
        <is>
          <t>days_to_pay</t>
        </is>
      </c>
      <c r="B10" s="17" t="n">
        <v>3</v>
      </c>
      <c r="C10" s="7">
        <f>(B10-46.389030612244895)/20.397665139113634</f>
        <v/>
      </c>
      <c r="D10" s="7">
        <f>Coefficients!$B$10</f>
        <v/>
      </c>
      <c r="E10" s="7">
        <f>C10*D10</f>
        <v/>
      </c>
    </row>
    <row r="11">
      <c r="A11" s="11" t="inlineStr">
        <is>
          <t>terms_deviation</t>
        </is>
      </c>
      <c r="B11" s="17" t="n">
        <v>25</v>
      </c>
      <c r="C11" s="7">
        <f>(B11-0.2181122448979592)/9.882758937825626</f>
        <v/>
      </c>
      <c r="D11" s="7">
        <f>Coefficients!$B$12</f>
        <v/>
      </c>
      <c r="E11" s="7">
        <f>C11*D11</f>
        <v/>
      </c>
    </row>
    <row r="12">
      <c r="A12" s="11" t="inlineStr">
        <is>
          <t>weekend</t>
        </is>
      </c>
      <c r="B12" s="17" t="n">
        <v>0</v>
      </c>
      <c r="C12" s="7">
        <f>B12</f>
        <v/>
      </c>
      <c r="D12" s="7">
        <f>Coefficients!$B$9</f>
        <v/>
      </c>
      <c r="E12" s="7">
        <f>C12*D12</f>
        <v/>
      </c>
    </row>
    <row r="13">
      <c r="A13" s="11" t="inlineStr">
        <is>
          <t>bank_change</t>
        </is>
      </c>
      <c r="B13" s="17" t="n">
        <v>1</v>
      </c>
      <c r="C13" s="7">
        <f>B13</f>
        <v/>
      </c>
      <c r="D13" s="7">
        <f>Coefficients!$B$6</f>
        <v/>
      </c>
      <c r="E13" s="7">
        <f>C13*D13</f>
        <v/>
      </c>
    </row>
    <row r="14">
      <c r="A14" s="11" t="inlineStr">
        <is>
          <t>currency_mismatch</t>
        </is>
      </c>
      <c r="B14" s="17" t="n">
        <v>0</v>
      </c>
      <c r="C14" s="7">
        <f>B14</f>
        <v/>
      </c>
      <c r="D14" s="7">
        <f>Coefficients!$B$5</f>
        <v/>
      </c>
      <c r="E14" s="7">
        <f>C14*D14</f>
        <v/>
      </c>
    </row>
    <row r="16">
      <c r="A16" s="11" t="inlineStr">
        <is>
          <t>Linear predictor (intercept + Σ contributions)</t>
        </is>
      </c>
      <c r="E16" s="18">
        <f>Coefficients!$B$14+SUM(E7:E14)</f>
        <v/>
      </c>
    </row>
    <row r="17">
      <c r="A17" s="19" t="inlineStr">
        <is>
          <t>Predicted anomaly probability</t>
        </is>
      </c>
      <c r="E17" s="20">
        <f>1/(1+EXP(-E16))</f>
        <v/>
      </c>
    </row>
    <row r="19">
      <c r="A19" s="9" t="inlineStr">
        <is>
          <t>Example shown: a rapid, over-invoiced payment with a recent bank change — expect a high probability.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3" customWidth="1" min="4" max="4"/>
    <col width="17" customWidth="1" min="5" max="5"/>
    <col width="11" customWidth="1" min="6" max="6"/>
    <col width="13" customWidth="1" min="7" max="7"/>
    <col width="19" customWidth="1" min="8" max="8"/>
    <col width="12" customWidth="1" min="9" max="9"/>
    <col width="11" customWidth="1" min="10" max="10"/>
    <col width="19" customWidth="1" min="11" max="11"/>
  </cols>
  <sheetData>
    <row r="1" ht="30" customHeight="1">
      <c r="A1" s="1" t="inlineStr">
        <is>
          <t>flydubai  |  PayGuard AI</t>
        </is>
      </c>
    </row>
    <row r="2" ht="22" customHeight="1">
      <c r="A2" s="2" t="inlineStr">
        <is>
          <t>Validation — Held-out Sample (model probability vs. truth)</t>
        </is>
      </c>
    </row>
    <row r="4">
      <c r="A4" s="10" t="inlineStr">
        <is>
          <t>log_amount</t>
        </is>
      </c>
      <c r="B4" s="10" t="inlineStr">
        <is>
          <t>paid_to_invoice</t>
        </is>
      </c>
      <c r="C4" s="10" t="inlineStr">
        <is>
          <t>invoice_to_po</t>
        </is>
      </c>
      <c r="D4" s="10" t="inlineStr">
        <is>
          <t>days_to_pay</t>
        </is>
      </c>
      <c r="E4" s="10" t="inlineStr">
        <is>
          <t>terms_deviation</t>
        </is>
      </c>
      <c r="F4" s="10" t="inlineStr">
        <is>
          <t>weekend</t>
        </is>
      </c>
      <c r="G4" s="10" t="inlineStr">
        <is>
          <t>bank_change</t>
        </is>
      </c>
      <c r="H4" s="10" t="inlineStr">
        <is>
          <t>currency_mismatch</t>
        </is>
      </c>
      <c r="I4" s="10" t="inlineStr">
        <is>
          <t>is_anomaly</t>
        </is>
      </c>
      <c r="J4" s="10" t="inlineStr">
        <is>
          <t>pred_prob</t>
        </is>
      </c>
      <c r="K4" s="10" t="inlineStr">
        <is>
          <t>hybrid_risk_score</t>
        </is>
      </c>
    </row>
    <row r="5">
      <c r="A5" s="21" t="n">
        <v>9.878824914496516</v>
      </c>
      <c r="B5" s="21" t="n">
        <v>1</v>
      </c>
      <c r="C5" s="21" t="n">
        <v>0.7450309707581974</v>
      </c>
      <c r="D5" s="22" t="n">
        <v>13</v>
      </c>
      <c r="E5" s="22" t="n">
        <v>-17</v>
      </c>
      <c r="F5" s="22" t="n">
        <v>0</v>
      </c>
      <c r="G5" s="22" t="n">
        <v>0</v>
      </c>
      <c r="H5" s="22" t="n">
        <v>0</v>
      </c>
      <c r="I5" s="22" t="n">
        <v>0</v>
      </c>
      <c r="J5" s="23" t="n">
        <v>0.0249310118241384</v>
      </c>
      <c r="K5" s="21" t="n">
        <v>23.5</v>
      </c>
    </row>
    <row r="6">
      <c r="A6" s="21" t="n">
        <v>7.699869580940825</v>
      </c>
      <c r="B6" s="21" t="n">
        <v>1</v>
      </c>
      <c r="C6" s="21" t="n">
        <v>0.7922674053757115</v>
      </c>
      <c r="D6" s="22" t="n">
        <v>32</v>
      </c>
      <c r="E6" s="22" t="n">
        <v>-13</v>
      </c>
      <c r="F6" s="22" t="n">
        <v>0</v>
      </c>
      <c r="G6" s="22" t="n">
        <v>0</v>
      </c>
      <c r="H6" s="22" t="n">
        <v>0</v>
      </c>
      <c r="I6" s="22" t="n">
        <v>0</v>
      </c>
      <c r="J6" s="23" t="n">
        <v>0.0286736350786694</v>
      </c>
      <c r="K6" s="21" t="n">
        <v>11.8</v>
      </c>
    </row>
    <row r="7">
      <c r="A7" s="21" t="n">
        <v>8.368644458012835</v>
      </c>
      <c r="B7" s="21" t="n">
        <v>1</v>
      </c>
      <c r="C7" s="21" t="n">
        <v>0.9138007821447052</v>
      </c>
      <c r="D7" s="22" t="n">
        <v>47</v>
      </c>
      <c r="E7" s="22" t="n">
        <v>17</v>
      </c>
      <c r="F7" s="22" t="n">
        <v>1</v>
      </c>
      <c r="G7" s="22" t="n">
        <v>0</v>
      </c>
      <c r="H7" s="22" t="n">
        <v>0</v>
      </c>
      <c r="I7" s="22" t="n">
        <v>0</v>
      </c>
      <c r="J7" s="23" t="n">
        <v>0.0091369593344248</v>
      </c>
      <c r="K7" s="21" t="n">
        <v>28.3</v>
      </c>
    </row>
    <row r="8">
      <c r="A8" s="21" t="n">
        <v>8.066270360383291</v>
      </c>
      <c r="B8" s="21" t="n">
        <v>1</v>
      </c>
      <c r="C8" s="21" t="n">
        <v>0.9966793605553036</v>
      </c>
      <c r="D8" s="22" t="n">
        <v>23</v>
      </c>
      <c r="E8" s="22" t="n">
        <v>-7</v>
      </c>
      <c r="F8" s="22" t="n">
        <v>1</v>
      </c>
      <c r="G8" s="22" t="n">
        <v>0</v>
      </c>
      <c r="H8" s="22" t="n">
        <v>0</v>
      </c>
      <c r="I8" s="22" t="n">
        <v>0</v>
      </c>
      <c r="J8" s="23" t="n">
        <v>0.09019793594620799</v>
      </c>
      <c r="K8" s="21" t="n">
        <v>30.8</v>
      </c>
    </row>
    <row r="9">
      <c r="A9" s="21" t="n">
        <v>8.162772846814383</v>
      </c>
      <c r="B9" s="21" t="n">
        <v>1</v>
      </c>
      <c r="C9" s="21" t="n">
        <v>0.7890816960227529</v>
      </c>
      <c r="D9" s="22" t="n">
        <v>41</v>
      </c>
      <c r="E9" s="22" t="n">
        <v>-4</v>
      </c>
      <c r="F9" s="22" t="n">
        <v>1</v>
      </c>
      <c r="G9" s="22" t="n">
        <v>0</v>
      </c>
      <c r="H9" s="22" t="n">
        <v>0</v>
      </c>
      <c r="I9" s="22" t="n">
        <v>0</v>
      </c>
      <c r="J9" s="23" t="n">
        <v>0.0168398198591823</v>
      </c>
      <c r="K9" s="21" t="n">
        <v>20.5</v>
      </c>
    </row>
    <row r="10">
      <c r="A10" s="21" t="n">
        <v>6.079841657725395</v>
      </c>
      <c r="B10" s="21" t="n">
        <v>1</v>
      </c>
      <c r="C10" s="21" t="n">
        <v>0.7803724879484891</v>
      </c>
      <c r="D10" s="22" t="n">
        <v>29</v>
      </c>
      <c r="E10" s="22" t="n">
        <v>-1</v>
      </c>
      <c r="F10" s="22" t="n">
        <v>1</v>
      </c>
      <c r="G10" s="22" t="n">
        <v>0</v>
      </c>
      <c r="H10" s="22" t="n">
        <v>0</v>
      </c>
      <c r="I10" s="22" t="n">
        <v>0</v>
      </c>
      <c r="J10" s="23" t="n">
        <v>0.0122785582841197</v>
      </c>
      <c r="K10" s="21" t="n">
        <v>30.6</v>
      </c>
    </row>
    <row r="11">
      <c r="A11" s="21" t="n">
        <v>8.128582250517638</v>
      </c>
      <c r="B11" s="21" t="n">
        <v>1</v>
      </c>
      <c r="C11" s="21" t="n">
        <v>0.9367414348300788</v>
      </c>
      <c r="D11" s="22" t="n">
        <v>65</v>
      </c>
      <c r="E11" s="22" t="n">
        <v>5</v>
      </c>
      <c r="F11" s="22" t="n">
        <v>0</v>
      </c>
      <c r="G11" s="22" t="n">
        <v>0</v>
      </c>
      <c r="H11" s="22" t="n">
        <v>0</v>
      </c>
      <c r="I11" s="22" t="n">
        <v>0</v>
      </c>
      <c r="J11" s="23" t="n">
        <v>0.0248886452291221</v>
      </c>
      <c r="K11" s="21" t="n">
        <v>8.699999999999999</v>
      </c>
    </row>
    <row r="12">
      <c r="A12" s="21" t="n">
        <v>9.927475038534386</v>
      </c>
      <c r="B12" s="21" t="n">
        <v>1</v>
      </c>
      <c r="C12" s="21" t="n">
        <v>0.9187038031181451</v>
      </c>
      <c r="D12" s="22" t="n">
        <v>16</v>
      </c>
      <c r="E12" s="22" t="n">
        <v>-14</v>
      </c>
      <c r="F12" s="22" t="n">
        <v>0</v>
      </c>
      <c r="G12" s="22" t="n">
        <v>0</v>
      </c>
      <c r="H12" s="22" t="n">
        <v>0</v>
      </c>
      <c r="I12" s="22" t="n">
        <v>0</v>
      </c>
      <c r="J12" s="23" t="n">
        <v>0.0722489689337925</v>
      </c>
      <c r="K12" s="21" t="n">
        <v>16.2</v>
      </c>
    </row>
    <row r="13">
      <c r="A13" s="21" t="n">
        <v>9.64714651198093</v>
      </c>
      <c r="B13" s="21" t="n">
        <v>1</v>
      </c>
      <c r="C13" s="21" t="n">
        <v>0.7358909802411197</v>
      </c>
      <c r="D13" s="22" t="n">
        <v>29</v>
      </c>
      <c r="E13" s="22" t="n">
        <v>-1</v>
      </c>
      <c r="F13" s="22" t="n">
        <v>0</v>
      </c>
      <c r="G13" s="22" t="n">
        <v>0</v>
      </c>
      <c r="H13" s="22" t="n">
        <v>0</v>
      </c>
      <c r="I13" s="22" t="n">
        <v>0</v>
      </c>
      <c r="J13" s="23" t="n">
        <v>0.007444877487399</v>
      </c>
      <c r="K13" s="21" t="n">
        <v>9.4</v>
      </c>
    </row>
    <row r="14">
      <c r="A14" s="21" t="n">
        <v>7.239674308326968</v>
      </c>
      <c r="B14" s="21" t="n">
        <v>1</v>
      </c>
      <c r="C14" s="21" t="n">
        <v>0.8269883406989547</v>
      </c>
      <c r="D14" s="22" t="n">
        <v>36</v>
      </c>
      <c r="E14" s="22" t="n">
        <v>6</v>
      </c>
      <c r="F14" s="22" t="n">
        <v>0</v>
      </c>
      <c r="G14" s="22" t="n">
        <v>0</v>
      </c>
      <c r="H14" s="22" t="n">
        <v>0</v>
      </c>
      <c r="I14" s="22" t="n">
        <v>0</v>
      </c>
      <c r="J14" s="23" t="n">
        <v>0.0091789395155474</v>
      </c>
      <c r="K14" s="21" t="n">
        <v>7.2</v>
      </c>
    </row>
    <row r="15">
      <c r="A15" s="21" t="n">
        <v>7.776509860083292</v>
      </c>
      <c r="B15" s="21" t="n">
        <v>1</v>
      </c>
      <c r="C15" s="21" t="n">
        <v>0.7274597795890955</v>
      </c>
      <c r="D15" s="22" t="n">
        <v>64</v>
      </c>
      <c r="E15" s="22" t="n">
        <v>4</v>
      </c>
      <c r="F15" s="22" t="n">
        <v>0</v>
      </c>
      <c r="G15" s="22" t="n">
        <v>0</v>
      </c>
      <c r="H15" s="22" t="n">
        <v>0</v>
      </c>
      <c r="I15" s="22" t="n">
        <v>0</v>
      </c>
      <c r="J15" s="23" t="n">
        <v>0.005501793308103</v>
      </c>
      <c r="K15" s="21" t="n">
        <v>12.8</v>
      </c>
    </row>
    <row r="16">
      <c r="A16" s="21" t="n">
        <v>8.799076483391612</v>
      </c>
      <c r="B16" s="21" t="n">
        <v>1</v>
      </c>
      <c r="C16" s="21" t="n">
        <v>0.7628120054099162</v>
      </c>
      <c r="D16" s="22" t="n">
        <v>36</v>
      </c>
      <c r="E16" s="22" t="n">
        <v>6</v>
      </c>
      <c r="F16" s="22" t="n">
        <v>0</v>
      </c>
      <c r="G16" s="22" t="n">
        <v>0</v>
      </c>
      <c r="H16" s="22" t="n">
        <v>0</v>
      </c>
      <c r="I16" s="22" t="n">
        <v>0</v>
      </c>
      <c r="J16" s="23" t="n">
        <v>0.0055620214011814</v>
      </c>
      <c r="K16" s="21" t="n">
        <v>5.4</v>
      </c>
    </row>
    <row r="17">
      <c r="A17" s="21" t="n">
        <v>9.387155965401709</v>
      </c>
      <c r="B17" s="21" t="n">
        <v>1</v>
      </c>
      <c r="C17" s="21" t="n">
        <v>0.927714646219246</v>
      </c>
      <c r="D17" s="22" t="n">
        <v>94</v>
      </c>
      <c r="E17" s="22" t="n">
        <v>4</v>
      </c>
      <c r="F17" s="22" t="n">
        <v>0</v>
      </c>
      <c r="G17" s="22" t="n">
        <v>0</v>
      </c>
      <c r="H17" s="22" t="n">
        <v>0</v>
      </c>
      <c r="I17" s="22" t="n">
        <v>0</v>
      </c>
      <c r="J17" s="23" t="n">
        <v>0.0274335440924924</v>
      </c>
      <c r="K17" s="21" t="n">
        <v>19.8</v>
      </c>
    </row>
    <row r="18">
      <c r="A18" s="21" t="n">
        <v>7.864262382023741</v>
      </c>
      <c r="B18" s="21" t="n">
        <v>1</v>
      </c>
      <c r="C18" s="21" t="n">
        <v>0.7752263916493589</v>
      </c>
      <c r="D18" s="22" t="n">
        <v>55</v>
      </c>
      <c r="E18" s="22" t="n">
        <v>-5</v>
      </c>
      <c r="F18" s="22" t="n">
        <v>1</v>
      </c>
      <c r="G18" s="22" t="n">
        <v>0</v>
      </c>
      <c r="H18" s="22" t="n">
        <v>0</v>
      </c>
      <c r="I18" s="22" t="n">
        <v>0</v>
      </c>
      <c r="J18" s="23" t="n">
        <v>0.0172094659996011</v>
      </c>
      <c r="K18" s="21" t="n">
        <v>25.4</v>
      </c>
    </row>
    <row r="19">
      <c r="A19" s="21" t="n">
        <v>8.916422899762004</v>
      </c>
      <c r="B19" s="21" t="n">
        <v>1</v>
      </c>
      <c r="C19" s="21" t="n">
        <v>0.7228863539362899</v>
      </c>
      <c r="D19" s="22" t="n">
        <v>34</v>
      </c>
      <c r="E19" s="22" t="n">
        <v>4</v>
      </c>
      <c r="F19" s="22" t="n">
        <v>0</v>
      </c>
      <c r="G19" s="22" t="n">
        <v>0</v>
      </c>
      <c r="H19" s="22" t="n">
        <v>0</v>
      </c>
      <c r="I19" s="22" t="n">
        <v>0</v>
      </c>
      <c r="J19" s="23" t="n">
        <v>0.0047330134457619</v>
      </c>
      <c r="K19" s="21" t="n">
        <v>9.800000000000001</v>
      </c>
    </row>
    <row r="20">
      <c r="A20" s="21" t="n">
        <v>8.62149194360267</v>
      </c>
      <c r="B20" s="21" t="n">
        <v>1</v>
      </c>
      <c r="C20" s="21" t="n">
        <v>0.8182772455428868</v>
      </c>
      <c r="D20" s="22" t="n">
        <v>45</v>
      </c>
      <c r="E20" s="22" t="n">
        <v>15</v>
      </c>
      <c r="F20" s="22" t="n">
        <v>0</v>
      </c>
      <c r="G20" s="22" t="n">
        <v>0</v>
      </c>
      <c r="H20" s="22" t="n">
        <v>0</v>
      </c>
      <c r="I20" s="22" t="n">
        <v>0</v>
      </c>
      <c r="J20" s="23" t="n">
        <v>0.0044469635845161</v>
      </c>
      <c r="K20" s="21" t="n">
        <v>10.1</v>
      </c>
    </row>
    <row r="21">
      <c r="A21" s="21" t="n">
        <v>7.873833772497951</v>
      </c>
      <c r="B21" s="21" t="n">
        <v>1</v>
      </c>
      <c r="C21" s="21" t="n">
        <v>0.9196348555629706</v>
      </c>
      <c r="D21" s="22" t="n">
        <v>40</v>
      </c>
      <c r="E21" s="22" t="n">
        <v>-5</v>
      </c>
      <c r="F21" s="22" t="n">
        <v>0</v>
      </c>
      <c r="G21" s="22" t="n">
        <v>0</v>
      </c>
      <c r="H21" s="22" t="n">
        <v>0</v>
      </c>
      <c r="I21" s="22" t="n">
        <v>0</v>
      </c>
      <c r="J21" s="23" t="n">
        <v>0.0420136969789713</v>
      </c>
      <c r="K21" s="21" t="n">
        <v>3</v>
      </c>
    </row>
    <row r="22">
      <c r="A22" s="21" t="n">
        <v>9.939502170114734</v>
      </c>
      <c r="B22" s="21" t="n">
        <v>1</v>
      </c>
      <c r="C22" s="21" t="n">
        <v>0.9390244805528528</v>
      </c>
      <c r="D22" s="22" t="n">
        <v>31</v>
      </c>
      <c r="E22" s="22" t="n">
        <v>1</v>
      </c>
      <c r="F22" s="22" t="n">
        <v>0</v>
      </c>
      <c r="G22" s="22" t="n">
        <v>0</v>
      </c>
      <c r="H22" s="22" t="n">
        <v>0</v>
      </c>
      <c r="I22" s="22" t="n">
        <v>0</v>
      </c>
      <c r="J22" s="23" t="n">
        <v>0.0298066731764234</v>
      </c>
      <c r="K22" s="21" t="n">
        <v>6.1</v>
      </c>
    </row>
    <row r="23">
      <c r="A23" s="21" t="n">
        <v>8.305207162797904</v>
      </c>
      <c r="B23" s="21" t="n">
        <v>1</v>
      </c>
      <c r="C23" s="21" t="n">
        <v>0.7933516570829925</v>
      </c>
      <c r="D23" s="22" t="n">
        <v>73</v>
      </c>
      <c r="E23" s="22" t="n">
        <v>13</v>
      </c>
      <c r="F23" s="22" t="n">
        <v>0</v>
      </c>
      <c r="G23" s="22" t="n">
        <v>0</v>
      </c>
      <c r="H23" s="22" t="n">
        <v>0</v>
      </c>
      <c r="I23" s="22" t="n">
        <v>0</v>
      </c>
      <c r="J23" s="23" t="n">
        <v>0.0047359491846108</v>
      </c>
      <c r="K23" s="21" t="n">
        <v>16</v>
      </c>
    </row>
    <row r="24">
      <c r="A24" s="21" t="n">
        <v>9.150512869875396</v>
      </c>
      <c r="B24" s="21" t="n">
        <v>1</v>
      </c>
      <c r="C24" s="21" t="n">
        <v>0.8569402160759487</v>
      </c>
      <c r="D24" s="22" t="n">
        <v>50</v>
      </c>
      <c r="E24" s="22" t="n">
        <v>-10</v>
      </c>
      <c r="F24" s="22" t="n">
        <v>0</v>
      </c>
      <c r="G24" s="22" t="n">
        <v>0</v>
      </c>
      <c r="H24" s="22" t="n">
        <v>0</v>
      </c>
      <c r="I24" s="22" t="n">
        <v>0</v>
      </c>
      <c r="J24" s="23" t="n">
        <v>0.0390770318686539</v>
      </c>
      <c r="K24" s="21" t="n">
        <v>4.4</v>
      </c>
    </row>
    <row r="25">
      <c r="A25" s="21" t="n">
        <v>8.284335106446516</v>
      </c>
      <c r="B25" s="21" t="n">
        <v>1</v>
      </c>
      <c r="C25" s="21" t="n">
        <v>0.744780675453748</v>
      </c>
      <c r="D25" s="22" t="n">
        <v>15</v>
      </c>
      <c r="E25" s="22" t="n">
        <v>-15</v>
      </c>
      <c r="F25" s="22" t="n">
        <v>0</v>
      </c>
      <c r="G25" s="22" t="n">
        <v>0</v>
      </c>
      <c r="H25" s="22" t="n">
        <v>0</v>
      </c>
      <c r="I25" s="22" t="n">
        <v>0</v>
      </c>
      <c r="J25" s="23" t="n">
        <v>0.021877915108486</v>
      </c>
      <c r="K25" s="21" t="n">
        <v>20.5</v>
      </c>
    </row>
    <row r="26">
      <c r="A26" s="21" t="n">
        <v>10.23820432065231</v>
      </c>
      <c r="B26" s="21" t="n">
        <v>1</v>
      </c>
      <c r="C26" s="21" t="n">
        <v>0.9539078122115014</v>
      </c>
      <c r="D26" s="22" t="n">
        <v>36</v>
      </c>
      <c r="E26" s="22" t="n">
        <v>6</v>
      </c>
      <c r="F26" s="22" t="n">
        <v>0</v>
      </c>
      <c r="G26" s="22" t="n">
        <v>0</v>
      </c>
      <c r="H26" s="22" t="n">
        <v>0</v>
      </c>
      <c r="I26" s="22" t="n">
        <v>0</v>
      </c>
      <c r="J26" s="23" t="n">
        <v>0.0233615314132584</v>
      </c>
      <c r="K26" s="21" t="n">
        <v>11</v>
      </c>
    </row>
    <row r="27">
      <c r="A27" s="21" t="n">
        <v>10.69062313064007</v>
      </c>
      <c r="B27" s="21" t="n">
        <v>1</v>
      </c>
      <c r="C27" s="21" t="n">
        <v>0.7668322158808929</v>
      </c>
      <c r="D27" s="22" t="n">
        <v>69</v>
      </c>
      <c r="E27" s="22" t="n">
        <v>9</v>
      </c>
      <c r="F27" s="22" t="n">
        <v>0</v>
      </c>
      <c r="G27" s="22" t="n">
        <v>0</v>
      </c>
      <c r="H27" s="22" t="n">
        <v>0</v>
      </c>
      <c r="I27" s="22" t="n">
        <v>0</v>
      </c>
      <c r="J27" s="23" t="n">
        <v>0.0050620343192393</v>
      </c>
      <c r="K27" s="21" t="n">
        <v>17.6</v>
      </c>
    </row>
    <row r="28">
      <c r="A28" s="21" t="n">
        <v>8.899949052097693</v>
      </c>
      <c r="B28" s="21" t="n">
        <v>1</v>
      </c>
      <c r="C28" s="21" t="n">
        <v>0.7444667190695842</v>
      </c>
      <c r="D28" s="22" t="n">
        <v>44</v>
      </c>
      <c r="E28" s="22" t="n">
        <v>14</v>
      </c>
      <c r="F28" s="22" t="n">
        <v>0</v>
      </c>
      <c r="G28" s="22" t="n">
        <v>0</v>
      </c>
      <c r="H28" s="22" t="n">
        <v>0</v>
      </c>
      <c r="I28" s="22" t="n">
        <v>0</v>
      </c>
      <c r="J28" s="23" t="n">
        <v>0.0027136338618091</v>
      </c>
      <c r="K28" s="21" t="n">
        <v>12.4</v>
      </c>
    </row>
    <row r="29">
      <c r="A29" s="21" t="n">
        <v>10.21529707790563</v>
      </c>
      <c r="B29" s="21" t="n">
        <v>1</v>
      </c>
      <c r="C29" s="21" t="n">
        <v>0.867308310820014</v>
      </c>
      <c r="D29" s="22" t="n">
        <v>90</v>
      </c>
      <c r="E29" s="22" t="n">
        <v>0</v>
      </c>
      <c r="F29" s="22" t="n">
        <v>0</v>
      </c>
      <c r="G29" s="22" t="n">
        <v>0</v>
      </c>
      <c r="H29" s="22" t="n">
        <v>0</v>
      </c>
      <c r="I29" s="24" t="n">
        <v>1</v>
      </c>
      <c r="J29" s="23" t="n">
        <v>0.0230134781368292</v>
      </c>
      <c r="K29" s="21" t="n">
        <v>43.6</v>
      </c>
    </row>
    <row r="30">
      <c r="A30" s="21" t="n">
        <v>8.6726966700841</v>
      </c>
      <c r="B30" s="21" t="n">
        <v>1</v>
      </c>
      <c r="C30" s="21" t="n">
        <v>0.8422538054960664</v>
      </c>
      <c r="D30" s="22" t="n">
        <v>95</v>
      </c>
      <c r="E30" s="22" t="n">
        <v>5</v>
      </c>
      <c r="F30" s="22" t="n">
        <v>0</v>
      </c>
      <c r="G30" s="22" t="n">
        <v>0</v>
      </c>
      <c r="H30" s="22" t="n">
        <v>0</v>
      </c>
      <c r="I30" s="22" t="n">
        <v>0</v>
      </c>
      <c r="J30" s="23" t="n">
        <v>0.0135213566540764</v>
      </c>
      <c r="K30" s="21" t="n">
        <v>19.5</v>
      </c>
    </row>
    <row r="31">
      <c r="A31" s="21" t="n">
        <v>7.504865015345107</v>
      </c>
      <c r="B31" s="21" t="n">
        <v>1</v>
      </c>
      <c r="C31" s="21" t="n">
        <v>0.9285447542820195</v>
      </c>
      <c r="D31" s="22" t="n">
        <v>74</v>
      </c>
      <c r="E31" s="22" t="n">
        <v>-16</v>
      </c>
      <c r="F31" s="22" t="n">
        <v>1</v>
      </c>
      <c r="G31" s="22" t="n">
        <v>0</v>
      </c>
      <c r="H31" s="22" t="n">
        <v>0</v>
      </c>
      <c r="I31" s="22" t="n">
        <v>0</v>
      </c>
      <c r="J31" s="23" t="n">
        <v>0.1230867417877684</v>
      </c>
      <c r="K31" s="21" t="n">
        <v>32.2</v>
      </c>
    </row>
    <row r="32">
      <c r="A32" s="21" t="n">
        <v>7.646043115206353</v>
      </c>
      <c r="B32" s="21" t="n">
        <v>1</v>
      </c>
      <c r="C32" s="21" t="n">
        <v>0.7943142542443693</v>
      </c>
      <c r="D32" s="22" t="n">
        <v>88</v>
      </c>
      <c r="E32" s="22" t="n">
        <v>-2</v>
      </c>
      <c r="F32" s="22" t="n">
        <v>0</v>
      </c>
      <c r="G32" s="22" t="n">
        <v>0</v>
      </c>
      <c r="H32" s="22" t="n">
        <v>0</v>
      </c>
      <c r="I32" s="22" t="n">
        <v>0</v>
      </c>
      <c r="J32" s="23" t="n">
        <v>0.0156374025287694</v>
      </c>
      <c r="K32" s="21" t="n">
        <v>17.5</v>
      </c>
    </row>
    <row r="33">
      <c r="A33" s="21" t="n">
        <v>11.15389961696359</v>
      </c>
      <c r="B33" s="21" t="n">
        <v>1</v>
      </c>
      <c r="C33" s="21" t="n">
        <v>0.7559944283343039</v>
      </c>
      <c r="D33" s="22" t="n">
        <v>22</v>
      </c>
      <c r="E33" s="22" t="n">
        <v>-8</v>
      </c>
      <c r="F33" s="22" t="n">
        <v>0</v>
      </c>
      <c r="G33" s="22" t="n">
        <v>0</v>
      </c>
      <c r="H33" s="22" t="n">
        <v>0</v>
      </c>
      <c r="I33" s="22" t="n">
        <v>0</v>
      </c>
      <c r="J33" s="23" t="n">
        <v>0.0141447232441641</v>
      </c>
      <c r="K33" s="21" t="n">
        <v>20.8</v>
      </c>
    </row>
    <row r="34">
      <c r="A34" s="21" t="n">
        <v>9.653177690937682</v>
      </c>
      <c r="B34" s="21" t="n">
        <v>1</v>
      </c>
      <c r="C34" s="21" t="n">
        <v>0.9565943690025428</v>
      </c>
      <c r="D34" s="22" t="n">
        <v>1</v>
      </c>
      <c r="E34" s="22" t="n">
        <v>-29</v>
      </c>
      <c r="F34" s="22" t="n">
        <v>0</v>
      </c>
      <c r="G34" s="22" t="n">
        <v>0</v>
      </c>
      <c r="H34" s="22" t="n">
        <v>0</v>
      </c>
      <c r="I34" s="24" t="n">
        <v>1</v>
      </c>
      <c r="J34" s="23" t="n">
        <v>0.2361006175924433</v>
      </c>
      <c r="K34" s="21" t="n">
        <v>39.5</v>
      </c>
    </row>
    <row r="35">
      <c r="A35" s="21" t="n">
        <v>8.295615912856206</v>
      </c>
      <c r="B35" s="21" t="n">
        <v>1</v>
      </c>
      <c r="C35" s="21" t="n">
        <v>0.8735079940766846</v>
      </c>
      <c r="D35" s="22" t="n">
        <v>66</v>
      </c>
      <c r="E35" s="22" t="n">
        <v>6</v>
      </c>
      <c r="F35" s="22" t="n">
        <v>1</v>
      </c>
      <c r="G35" s="22" t="n">
        <v>0</v>
      </c>
      <c r="H35" s="22" t="n">
        <v>0</v>
      </c>
      <c r="I35" s="22" t="n">
        <v>0</v>
      </c>
      <c r="J35" s="23" t="n">
        <v>0.0164426921550937</v>
      </c>
      <c r="K35" s="21" t="n">
        <v>22.2</v>
      </c>
    </row>
    <row r="36">
      <c r="A36" s="21" t="n">
        <v>9.539297296392808</v>
      </c>
      <c r="B36" s="21" t="n">
        <v>1</v>
      </c>
      <c r="C36" s="21" t="n">
        <v>0.8316826192200539</v>
      </c>
      <c r="D36" s="22" t="n">
        <v>44</v>
      </c>
      <c r="E36" s="22" t="n">
        <v>14</v>
      </c>
      <c r="F36" s="22" t="n">
        <v>0</v>
      </c>
      <c r="G36" s="22" t="n">
        <v>0</v>
      </c>
      <c r="H36" s="22" t="n">
        <v>0</v>
      </c>
      <c r="I36" s="22" t="n">
        <v>0</v>
      </c>
      <c r="J36" s="23" t="n">
        <v>0.0052546502339455</v>
      </c>
      <c r="K36" s="21" t="n">
        <v>9.9</v>
      </c>
    </row>
    <row r="37">
      <c r="A37" s="21" t="n">
        <v>9.883345557661285</v>
      </c>
      <c r="B37" s="21" t="n">
        <v>1</v>
      </c>
      <c r="C37" s="21" t="n">
        <v>0.9489214111873844</v>
      </c>
      <c r="D37" s="22" t="n">
        <v>0</v>
      </c>
      <c r="E37" s="22" t="n">
        <v>-30</v>
      </c>
      <c r="F37" s="22" t="n">
        <v>0</v>
      </c>
      <c r="G37" s="22" t="n">
        <v>0</v>
      </c>
      <c r="H37" s="22" t="n">
        <v>0</v>
      </c>
      <c r="I37" s="24" t="n">
        <v>1</v>
      </c>
      <c r="J37" s="23" t="n">
        <v>0.2382176551377303</v>
      </c>
      <c r="K37" s="21" t="n">
        <v>39.7</v>
      </c>
    </row>
    <row r="38">
      <c r="A38" s="21" t="n">
        <v>7.551549386969438</v>
      </c>
      <c r="B38" s="21" t="n">
        <v>1</v>
      </c>
      <c r="C38" s="21" t="n">
        <v>0.8362067726621668</v>
      </c>
      <c r="D38" s="22" t="n">
        <v>40</v>
      </c>
      <c r="E38" s="22" t="n">
        <v>-5</v>
      </c>
      <c r="F38" s="22" t="n">
        <v>0</v>
      </c>
      <c r="G38" s="22" t="n">
        <v>0</v>
      </c>
      <c r="H38" s="22" t="n">
        <v>0</v>
      </c>
      <c r="I38" s="22" t="n">
        <v>0</v>
      </c>
      <c r="J38" s="23" t="n">
        <v>0.0226707287550265</v>
      </c>
      <c r="K38" s="21" t="n">
        <v>3.2</v>
      </c>
    </row>
    <row r="39">
      <c r="A39" s="21" t="n">
        <v>9.332679236289639</v>
      </c>
      <c r="B39" s="21" t="n">
        <v>1</v>
      </c>
      <c r="C39" s="21" t="n">
        <v>0.8760873205630344</v>
      </c>
      <c r="D39" s="22" t="n">
        <v>18</v>
      </c>
      <c r="E39" s="22" t="n">
        <v>-12</v>
      </c>
      <c r="F39" s="22" t="n">
        <v>0</v>
      </c>
      <c r="G39" s="22" t="n">
        <v>0</v>
      </c>
      <c r="H39" s="22" t="n">
        <v>0</v>
      </c>
      <c r="I39" s="22" t="n">
        <v>0</v>
      </c>
      <c r="J39" s="23" t="n">
        <v>0.0465626843740763</v>
      </c>
      <c r="K39" s="21" t="n">
        <v>11.4</v>
      </c>
    </row>
    <row r="40">
      <c r="A40" s="21" t="n">
        <v>9.398812144031105</v>
      </c>
      <c r="B40" s="21" t="n">
        <v>1</v>
      </c>
      <c r="C40" s="21" t="n">
        <v>0.9454509146723468</v>
      </c>
      <c r="D40" s="22" t="n">
        <v>54</v>
      </c>
      <c r="E40" s="22" t="n">
        <v>-6</v>
      </c>
      <c r="F40" s="22" t="n">
        <v>0</v>
      </c>
      <c r="G40" s="22" t="n">
        <v>0</v>
      </c>
      <c r="H40" s="22" t="n">
        <v>0</v>
      </c>
      <c r="I40" s="22" t="n">
        <v>0</v>
      </c>
      <c r="J40" s="23" t="n">
        <v>0.0564959867598959</v>
      </c>
      <c r="K40" s="21" t="n">
        <v>6.4</v>
      </c>
    </row>
    <row r="41">
      <c r="A41" s="21" t="n">
        <v>9.65322071819417</v>
      </c>
      <c r="B41" s="21" t="n">
        <v>1</v>
      </c>
      <c r="C41" s="21" t="n">
        <v>0.8618255859551749</v>
      </c>
      <c r="D41" s="22" t="n">
        <v>33</v>
      </c>
      <c r="E41" s="22" t="n">
        <v>3</v>
      </c>
      <c r="F41" s="22" t="n">
        <v>1</v>
      </c>
      <c r="G41" s="22" t="n">
        <v>0</v>
      </c>
      <c r="H41" s="22" t="n">
        <v>0</v>
      </c>
      <c r="I41" s="22" t="n">
        <v>0</v>
      </c>
      <c r="J41" s="23" t="n">
        <v>0.0165988903611813</v>
      </c>
      <c r="K41" s="21" t="n">
        <v>20.3</v>
      </c>
    </row>
    <row r="42">
      <c r="A42" s="21" t="n">
        <v>6.451985860964225</v>
      </c>
      <c r="B42" s="21" t="n">
        <v>1</v>
      </c>
      <c r="C42" s="21" t="n">
        <v>0.9714399147460144</v>
      </c>
      <c r="D42" s="22" t="n">
        <v>52</v>
      </c>
      <c r="E42" s="22" t="n">
        <v>7</v>
      </c>
      <c r="F42" s="22" t="n">
        <v>0</v>
      </c>
      <c r="G42" s="22" t="n">
        <v>0</v>
      </c>
      <c r="H42" s="22" t="n">
        <v>0</v>
      </c>
      <c r="I42" s="22" t="n">
        <v>0</v>
      </c>
      <c r="J42" s="23" t="n">
        <v>0.0269402428191201</v>
      </c>
      <c r="K42" s="21" t="n">
        <v>20.5</v>
      </c>
    </row>
    <row r="43">
      <c r="A43" s="21" t="n">
        <v>9.761653790423884</v>
      </c>
      <c r="B43" s="21" t="n">
        <v>1</v>
      </c>
      <c r="C43" s="21" t="n">
        <v>0.7907202971458669</v>
      </c>
      <c r="D43" s="22" t="n">
        <v>70</v>
      </c>
      <c r="E43" s="22" t="n">
        <v>10</v>
      </c>
      <c r="F43" s="22" t="n">
        <v>1</v>
      </c>
      <c r="G43" s="22" t="n">
        <v>0</v>
      </c>
      <c r="H43" s="22" t="n">
        <v>0</v>
      </c>
      <c r="I43" s="22" t="n">
        <v>0</v>
      </c>
      <c r="J43" s="23" t="n">
        <v>0.0065135073317379</v>
      </c>
      <c r="K43" s="21" t="n">
        <v>27.7</v>
      </c>
    </row>
    <row r="44">
      <c r="A44" s="21" t="n">
        <v>7.558125430186024</v>
      </c>
      <c r="B44" s="21" t="n">
        <v>1</v>
      </c>
      <c r="C44" s="21" t="n">
        <v>0.960174262667382</v>
      </c>
      <c r="D44" s="22" t="n">
        <v>17</v>
      </c>
      <c r="E44" s="22" t="n">
        <v>-13</v>
      </c>
      <c r="F44" s="22" t="n">
        <v>1</v>
      </c>
      <c r="G44" s="22" t="n">
        <v>0</v>
      </c>
      <c r="H44" s="22" t="n">
        <v>0</v>
      </c>
      <c r="I44" s="22" t="n">
        <v>0</v>
      </c>
      <c r="J44" s="23" t="n">
        <v>0.1040869495364654</v>
      </c>
      <c r="K44" s="21" t="n">
        <v>31.7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2026-08-27T08:23:05Z</dcterms:created>
  <dcterms:modified xsi:type="dcterms:W3CDTF">2026-08-27T08:23:05Z</dcterms:modified>
</cp:coreProperties>
</file>