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C Exposure" sheetId="2" state="visible" r:id="rId2"/>
    <sheet name="MC Working Capi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11295B"/>
      <sz val="12"/>
    </font>
    <font>
      <name val="Arial"/>
      <color rgb="00000000"/>
      <sz val="10"/>
    </font>
    <font>
      <name val="Arial"/>
      <i val="1"/>
      <color rgb="00666666"/>
      <sz val="9"/>
    </font>
    <font>
      <name val="Arial"/>
      <b val="1"/>
      <color rgb="0011295B"/>
      <sz val="11"/>
    </font>
    <font>
      <name val="Arial"/>
      <b val="1"/>
      <color rgb="00000000"/>
      <sz val="10"/>
    </font>
    <font>
      <name val="Arial"/>
      <b val="1"/>
      <color rgb="000000FF"/>
      <sz val="10"/>
    </font>
    <font>
      <name val="Arial"/>
      <b val="1"/>
      <color rgb="0011295B"/>
      <sz val="9"/>
    </font>
    <font>
      <name val="Arial"/>
      <color rgb="00888888"/>
      <sz val="8"/>
    </font>
    <font>
      <name val="Arial"/>
      <b val="1"/>
      <color rgb="0011295B"/>
      <sz val="10"/>
    </font>
    <font>
      <name val="Arial"/>
      <b val="1"/>
      <color rgb="00FFFFFF"/>
      <sz val="10"/>
    </font>
    <font>
      <name val="Arial"/>
      <color rgb="00000000"/>
      <sz val="8"/>
    </font>
    <font>
      <name val="Arial"/>
      <sz val="8"/>
    </font>
    <font>
      <name val="Arial"/>
      <b val="1"/>
      <color rgb="00B3392C"/>
      <sz val="10"/>
    </font>
    <font>
      <name val="Arial"/>
      <color rgb="00B3392C"/>
      <sz val="10"/>
    </font>
    <font>
      <name val="Arial"/>
      <i val="1"/>
      <color rgb="00888888"/>
      <sz val="8"/>
    </font>
    <font>
      <name val="Arial"/>
      <b val="1"/>
      <color rgb="002E7D32"/>
      <sz val="10"/>
    </font>
  </fonts>
  <fills count="6">
    <fill>
      <patternFill/>
    </fill>
    <fill>
      <patternFill patternType="gray125"/>
    </fill>
    <fill>
      <patternFill patternType="solid">
        <fgColor rgb="0011295B"/>
      </patternFill>
    </fill>
    <fill>
      <patternFill patternType="solid">
        <fgColor rgb="00E8541E"/>
      </patternFill>
    </fill>
    <fill>
      <patternFill patternType="solid">
        <fgColor rgb="00C7A24A"/>
      </patternFill>
    </fill>
    <fill>
      <patternFill patternType="solid">
        <fgColor rgb="00FFF6D5"/>
      </patternFill>
    </fill>
  </fills>
  <borders count="6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1" fontId="8" fillId="5" borderId="1" applyAlignment="1" pivotButton="0" quotePrefix="0" xfId="0">
      <alignment horizontal="center" vertical="center"/>
    </xf>
    <xf numFmtId="164" fontId="10" fillId="0" borderId="0" pivotButton="0" quotePrefix="0" xfId="0"/>
    <xf numFmtId="0" fontId="7" fillId="4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164" fontId="7" fillId="0" borderId="1" pivotButton="0" quotePrefix="0" xfId="0"/>
    <xf numFmtId="1" fontId="13" fillId="0" borderId="1" applyAlignment="1" pivotButton="0" quotePrefix="0" xfId="0">
      <alignment horizontal="center" vertical="center"/>
    </xf>
    <xf numFmtId="164" fontId="14" fillId="0" borderId="1" pivotButton="0" quotePrefix="0" xfId="0"/>
    <xf numFmtId="164" fontId="4" fillId="0" borderId="1" pivotButton="0" quotePrefix="0" xfId="0"/>
    <xf numFmtId="164" fontId="15" fillId="0" borderId="1" pivotButton="0" quotePrefix="0" xfId="0"/>
    <xf numFmtId="164" fontId="16" fillId="0" borderId="1" pivotButton="0" quotePrefix="0" xfId="0"/>
    <xf numFmtId="0" fontId="17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8" fillId="0" borderId="1" applyAlignment="1" pivotButton="0" quotePrefix="0" xfId="0">
      <alignment horizontal="right"/>
    </xf>
    <xf numFmtId="1" fontId="8" fillId="5" borderId="1" applyAlignment="1" pivotButton="0" quotePrefix="0" xfId="0">
      <alignment horizontal="right"/>
    </xf>
    <xf numFmtId="165" fontId="8" fillId="5" borderId="1" applyAlignment="1" pivotButton="0" quotePrefix="0" xfId="0">
      <alignment horizontal="right"/>
    </xf>
    <xf numFmtId="165" fontId="13" fillId="0" borderId="1" pivotButton="0" quotePrefix="0" xfId="0"/>
    <xf numFmtId="164" fontId="13" fillId="0" borderId="1" pivotButton="0" quotePrefix="0" xfId="0"/>
    <xf numFmtId="0" fontId="2" fillId="3" borderId="1" applyAlignment="1" pivotButton="0" quotePrefix="0" xfId="0">
      <alignment horizontal="left" vertical="center"/>
    </xf>
    <xf numFmtId="165" fontId="1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PayGuard</author>
  </authors>
  <commentList>
    <comment ref="B6" authorId="0" shapeId="0">
      <text>
        <t>Number of bootstrap resamples (rows in the sim table). 1000 default.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4" customWidth="1" min="2" max="2"/>
    <col width="20" customWidth="1" min="3" max="3"/>
  </cols>
  <sheetData>
    <row r="1" ht="30" customHeight="1">
      <c r="A1" s="1" t="inlineStr">
        <is>
          <t>flydubai  |  PayGuard AI</t>
        </is>
      </c>
    </row>
    <row r="2" ht="22" customHeight="1">
      <c r="A2" s="2" t="inlineStr">
        <is>
          <t>Monte Carlo Evaluation — Review Exposure &amp; Working-Capital (DPO)</t>
        </is>
      </c>
    </row>
    <row r="4">
      <c r="A4" s="3" t="inlineStr">
        <is>
          <t>Purpose</t>
        </is>
      </c>
    </row>
    <row r="5">
      <c r="A5" s="4" t="inlineStr">
        <is>
          <t>•  This workbook lets you re-run two Monte Carlo simulations live inside Excel.</t>
        </is>
      </c>
    </row>
    <row r="6">
      <c r="A6" s="4" t="inlineStr">
        <is>
          <t>•  Sheet 'MC Exposure': bootstrap of flagged-payment review exposure -&gt; mean and tail percentiles.</t>
        </is>
      </c>
    </row>
    <row r="7">
      <c r="A7" s="4" t="inlineStr">
        <is>
          <t>•  Sheet 'MC Working Capital': net benefit of extending Days Payable Outstanding (DPO).</t>
        </is>
      </c>
    </row>
    <row r="8">
      <c r="A8" s="4" t="inlineStr">
        <is>
          <t>•  Every simulation cell uses RAND(); press F9 to draw a fresh set of scenarios.</t>
        </is>
      </c>
    </row>
    <row r="9">
      <c r="A9" s="4" t="inlineStr">
        <is>
          <t>•  Editable inputs are in blue with yellow fill. Change them and the summaries update.</t>
        </is>
      </c>
    </row>
    <row r="10">
      <c r="A10" s="4" t="inlineStr">
        <is>
          <t>•  All data are SYNTHETIC. Cost-of-capital, discount and friction assumptions are illustrative</t>
        </is>
      </c>
    </row>
    <row r="11">
      <c r="A11" s="4" t="inlineStr">
        <is>
          <t>•  placeholders — replace with flydubai treasury-approved figures before any operational use.</t>
        </is>
      </c>
    </row>
    <row r="13">
      <c r="A13" s="5" t="inlineStr">
        <is>
          <t>Legend:  blue text = editable input   •   yellow fill = key assumption / lever   •   black = formula (recalculates)   •   Press F9 to re-simulate.</t>
        </is>
      </c>
    </row>
    <row r="15">
      <c r="A15" s="6" t="inlineStr">
        <is>
          <t>Reference inputs (from the PayGuard analysis)</t>
        </is>
      </c>
    </row>
    <row r="16">
      <c r="A16" s="7" t="inlineStr">
        <is>
          <t>Flagged payments (n)</t>
        </is>
      </c>
      <c r="C16" s="8" t="n">
        <v>66</v>
      </c>
    </row>
    <row r="17">
      <c r="A17" s="7" t="inlineStr">
        <is>
          <t>Sum of review exposure (USD)</t>
        </is>
      </c>
      <c r="C17" s="9" t="n">
        <v>239635.35</v>
      </c>
    </row>
    <row r="18">
      <c r="A18" s="7" t="inlineStr">
        <is>
          <t>Mean review exposure (USD)</t>
        </is>
      </c>
      <c r="C18" s="9" t="n">
        <v>3630.838636363636</v>
      </c>
    </row>
    <row r="19">
      <c r="A19" s="7" t="inlineStr">
        <is>
          <t>Annualised clean-spend proxy (USD)</t>
        </is>
      </c>
      <c r="C19" s="9" t="n">
        <v>38782655.49782348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34" customWidth="1" min="5" max="5"/>
    <col width="18" customWidth="1" min="6" max="6"/>
    <col width="14" customWidth="1" min="8" max="8"/>
  </cols>
  <sheetData>
    <row r="1" ht="30" customHeight="1">
      <c r="A1" s="1" t="inlineStr">
        <is>
          <t>flydubai  |  PayGuard AI</t>
        </is>
      </c>
    </row>
    <row r="2" ht="22" customHeight="1">
      <c r="A2" s="2" t="inlineStr">
        <is>
          <t>Monte Carlo — Aggregate Review Exposure (bootstrap)</t>
        </is>
      </c>
    </row>
    <row r="4">
      <c r="A4" s="5" t="inlineStr">
        <is>
          <t>Method: resample the n flagged exposures with replacement, sum each resample, repeat N times.</t>
        </is>
      </c>
    </row>
    <row r="5">
      <c r="H5" s="10" t="inlineStr">
        <is>
          <t>Flagged exposures (source)</t>
        </is>
      </c>
    </row>
    <row r="6">
      <c r="A6" s="11" t="inlineStr">
        <is>
          <t>SUMMARY</t>
        </is>
      </c>
      <c r="B6" s="12" t="n">
        <v>1000</v>
      </c>
      <c r="H6" s="13" t="n">
        <v>348.53</v>
      </c>
    </row>
    <row r="7">
      <c r="A7" s="14" t="inlineStr">
        <is>
          <t>Flagged count (n)</t>
        </is>
      </c>
      <c r="B7" s="15" t="n">
        <v>66</v>
      </c>
      <c r="H7" s="13" t="n">
        <v>2458.4</v>
      </c>
    </row>
    <row r="8">
      <c r="H8" s="13" t="n">
        <v>1941.51</v>
      </c>
    </row>
    <row r="9">
      <c r="A9" s="16" t="inlineStr">
        <is>
          <t>Simulation table (each row = one resampled portfolio total)</t>
        </is>
      </c>
      <c r="E9" s="16" t="inlineStr">
        <is>
          <t>Live results (press F9 to re-simulate)</t>
        </is>
      </c>
      <c r="H9" s="13" t="n">
        <v>1596.54</v>
      </c>
    </row>
    <row r="10">
      <c r="A10" s="17" t="inlineStr">
        <is>
          <t>Sim #</t>
        </is>
      </c>
      <c r="B10" s="17" t="inlineStr">
        <is>
          <t>Resample mean (USD)</t>
        </is>
      </c>
      <c r="C10" s="17" t="inlineStr">
        <is>
          <t>Portfolio total = mean × n (USD)</t>
        </is>
      </c>
      <c r="E10" s="18" t="inlineStr">
        <is>
          <t>Mean total exposure</t>
        </is>
      </c>
      <c r="F10" s="19">
        <f>AVERAGE(C11:C1010)</f>
        <v/>
      </c>
      <c r="H10" s="13" t="n">
        <v>13763.96</v>
      </c>
    </row>
    <row r="11">
      <c r="A11" s="20" t="n">
        <v>1</v>
      </c>
      <c r="B1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1" s="21">
        <f>B11*$B$7</f>
        <v/>
      </c>
      <c r="E11" s="7" t="inlineStr">
        <is>
          <t>Median (P50)</t>
        </is>
      </c>
      <c r="F11" s="22">
        <f>MEDIAN(C11:C1010)</f>
        <v/>
      </c>
      <c r="H11" s="13" t="n">
        <v>1880.72</v>
      </c>
    </row>
    <row r="12">
      <c r="A12" s="20" t="n">
        <v>2</v>
      </c>
      <c r="B1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2" s="21">
        <f>B12*$B$7</f>
        <v/>
      </c>
      <c r="E12" s="7" t="inlineStr">
        <is>
          <t>5th percentile</t>
        </is>
      </c>
      <c r="F12" s="22">
        <f>PERCENTILE(C11:C1010,0.05)</f>
        <v/>
      </c>
      <c r="H12" s="13" t="n">
        <v>301.24</v>
      </c>
    </row>
    <row r="13">
      <c r="A13" s="20" t="n">
        <v>3</v>
      </c>
      <c r="B1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3" s="21">
        <f>B13*$B$7</f>
        <v/>
      </c>
      <c r="E13" s="18" t="inlineStr">
        <is>
          <t>95th percentile of review exposure</t>
        </is>
      </c>
      <c r="F13" s="23">
        <f>PERCENTILE(C11:C1010,0.95)</f>
        <v/>
      </c>
      <c r="H13" s="13" t="n">
        <v>1093.57</v>
      </c>
    </row>
    <row r="14">
      <c r="A14" s="20" t="n">
        <v>4</v>
      </c>
      <c r="B1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4" s="21">
        <f>B14*$B$7</f>
        <v/>
      </c>
      <c r="E14" s="7" t="inlineStr">
        <is>
          <t>99th percentile of review exposure</t>
        </is>
      </c>
      <c r="F14" s="24">
        <f>PERCENTILE(C11:C1010,0.99)</f>
        <v/>
      </c>
      <c r="H14" s="13" t="n">
        <v>6266.46</v>
      </c>
    </row>
    <row r="15">
      <c r="A15" s="20" t="n">
        <v>5</v>
      </c>
      <c r="B1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5" s="21">
        <f>B15*$B$7</f>
        <v/>
      </c>
      <c r="E15" s="18" t="inlineStr">
        <is>
          <t>Mean above 95th percentile</t>
        </is>
      </c>
      <c r="F15" s="23">
        <f>AVERAGEIF(C11:C1010,"&gt;="&amp;PERCENTILE(C11:C1010,0.95))</f>
        <v/>
      </c>
      <c r="H15" s="13" t="n">
        <v>227.68</v>
      </c>
    </row>
    <row r="16">
      <c r="A16" s="20" t="n">
        <v>6</v>
      </c>
      <c r="B1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6" s="21">
        <f>B16*$B$7</f>
        <v/>
      </c>
      <c r="H16" s="13" t="n">
        <v>1206.9</v>
      </c>
    </row>
    <row r="17">
      <c r="A17" s="20" t="n">
        <v>7</v>
      </c>
      <c r="B1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7" s="21">
        <f>B17*$B$7</f>
        <v/>
      </c>
      <c r="E17" s="25" t="inlineStr">
        <is>
          <t>Tail measures describe the simulated review-exposure distribution and are not calibrated fraud-loss VaR/CVaR.</t>
        </is>
      </c>
      <c r="H17" s="13" t="n">
        <v>639.53</v>
      </c>
    </row>
    <row r="18">
      <c r="A18" s="20" t="n">
        <v>8</v>
      </c>
      <c r="B1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8" s="21">
        <f>B18*$B$7</f>
        <v/>
      </c>
      <c r="H18" s="13" t="n">
        <v>1828.6</v>
      </c>
    </row>
    <row r="19">
      <c r="A19" s="20" t="n">
        <v>9</v>
      </c>
      <c r="B1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9" s="21">
        <f>B19*$B$7</f>
        <v/>
      </c>
      <c r="H19" s="13" t="n">
        <v>5965.24</v>
      </c>
    </row>
    <row r="20">
      <c r="A20" s="20" t="n">
        <v>10</v>
      </c>
      <c r="B2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0" s="21">
        <f>B20*$B$7</f>
        <v/>
      </c>
      <c r="H20" s="13" t="n">
        <v>4064.96</v>
      </c>
    </row>
    <row r="21">
      <c r="A21" s="20" t="n">
        <v>11</v>
      </c>
      <c r="B2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1" s="21">
        <f>B21*$B$7</f>
        <v/>
      </c>
      <c r="H21" s="13" t="n">
        <v>3996.04</v>
      </c>
    </row>
    <row r="22">
      <c r="A22" s="20" t="n">
        <v>12</v>
      </c>
      <c r="B2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2" s="21">
        <f>B22*$B$7</f>
        <v/>
      </c>
      <c r="H22" s="13" t="n">
        <v>4624.47</v>
      </c>
    </row>
    <row r="23">
      <c r="A23" s="20" t="n">
        <v>13</v>
      </c>
      <c r="B2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3" s="21">
        <f>B23*$B$7</f>
        <v/>
      </c>
      <c r="H23" s="13" t="n">
        <v>41658.34</v>
      </c>
    </row>
    <row r="24">
      <c r="A24" s="20" t="n">
        <v>14</v>
      </c>
      <c r="B2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4" s="21">
        <f>B24*$B$7</f>
        <v/>
      </c>
      <c r="H24" s="13" t="n">
        <v>710.09</v>
      </c>
    </row>
    <row r="25">
      <c r="A25" s="20" t="n">
        <v>15</v>
      </c>
      <c r="B2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5" s="21">
        <f>B25*$B$7</f>
        <v/>
      </c>
      <c r="H25" s="13" t="n">
        <v>8399.49</v>
      </c>
    </row>
    <row r="26">
      <c r="A26" s="20" t="n">
        <v>16</v>
      </c>
      <c r="B2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6" s="21">
        <f>B26*$B$7</f>
        <v/>
      </c>
      <c r="H26" s="13" t="n">
        <v>5374.71</v>
      </c>
    </row>
    <row r="27">
      <c r="A27" s="20" t="n">
        <v>17</v>
      </c>
      <c r="B2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7" s="21">
        <f>B27*$B$7</f>
        <v/>
      </c>
      <c r="H27" s="13" t="n">
        <v>3871.2</v>
      </c>
    </row>
    <row r="28">
      <c r="A28" s="20" t="n">
        <v>18</v>
      </c>
      <c r="B2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8" s="21">
        <f>B28*$B$7</f>
        <v/>
      </c>
      <c r="H28" s="13" t="n">
        <v>1291.18</v>
      </c>
    </row>
    <row r="29">
      <c r="A29" s="20" t="n">
        <v>19</v>
      </c>
      <c r="B2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9" s="21">
        <f>B29*$B$7</f>
        <v/>
      </c>
      <c r="H29" s="13" t="n">
        <v>8741.540000000001</v>
      </c>
    </row>
    <row r="30">
      <c r="A30" s="20" t="n">
        <v>20</v>
      </c>
      <c r="B3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0" s="21">
        <f>B30*$B$7</f>
        <v/>
      </c>
      <c r="H30" s="13" t="n">
        <v>1960.41</v>
      </c>
    </row>
    <row r="31">
      <c r="A31" s="20" t="n">
        <v>21</v>
      </c>
      <c r="B3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1" s="21">
        <f>B31*$B$7</f>
        <v/>
      </c>
      <c r="H31" s="13" t="n">
        <v>1353.89</v>
      </c>
    </row>
    <row r="32">
      <c r="A32" s="20" t="n">
        <v>22</v>
      </c>
      <c r="B3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2" s="21">
        <f>B32*$B$7</f>
        <v/>
      </c>
      <c r="H32" s="13" t="n">
        <v>1778</v>
      </c>
    </row>
    <row r="33">
      <c r="A33" s="20" t="n">
        <v>23</v>
      </c>
      <c r="B3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3" s="21">
        <f>B33*$B$7</f>
        <v/>
      </c>
      <c r="H33" s="13" t="n">
        <v>398.88</v>
      </c>
    </row>
    <row r="34">
      <c r="A34" s="20" t="n">
        <v>24</v>
      </c>
      <c r="B3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4" s="21">
        <f>B34*$B$7</f>
        <v/>
      </c>
      <c r="H34" s="13" t="n">
        <v>5753.56</v>
      </c>
    </row>
    <row r="35">
      <c r="A35" s="20" t="n">
        <v>25</v>
      </c>
      <c r="B3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5" s="21">
        <f>B35*$B$7</f>
        <v/>
      </c>
      <c r="H35" s="13" t="n">
        <v>197.42</v>
      </c>
    </row>
    <row r="36">
      <c r="A36" s="20" t="n">
        <v>26</v>
      </c>
      <c r="B3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6" s="21">
        <f>B36*$B$7</f>
        <v/>
      </c>
      <c r="H36" s="13" t="n">
        <v>3727.53</v>
      </c>
    </row>
    <row r="37">
      <c r="A37" s="20" t="n">
        <v>27</v>
      </c>
      <c r="B3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7" s="21">
        <f>B37*$B$7</f>
        <v/>
      </c>
      <c r="H37" s="13" t="n">
        <v>3302.44</v>
      </c>
    </row>
    <row r="38">
      <c r="A38" s="20" t="n">
        <v>28</v>
      </c>
      <c r="B3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8" s="21">
        <f>B38*$B$7</f>
        <v/>
      </c>
      <c r="H38" s="13" t="n">
        <v>3973.91</v>
      </c>
    </row>
    <row r="39">
      <c r="A39" s="20" t="n">
        <v>29</v>
      </c>
      <c r="B3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9" s="21">
        <f>B39*$B$7</f>
        <v/>
      </c>
      <c r="H39" s="13" t="n">
        <v>7525.83</v>
      </c>
    </row>
    <row r="40">
      <c r="A40" s="20" t="n">
        <v>30</v>
      </c>
      <c r="B4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0" s="21">
        <f>B40*$B$7</f>
        <v/>
      </c>
      <c r="H40" s="13" t="n">
        <v>2163.94</v>
      </c>
    </row>
    <row r="41">
      <c r="A41" s="20" t="n">
        <v>31</v>
      </c>
      <c r="B4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1" s="21">
        <f>B41*$B$7</f>
        <v/>
      </c>
      <c r="H41" s="13" t="n">
        <v>5511.83</v>
      </c>
    </row>
    <row r="42">
      <c r="A42" s="20" t="n">
        <v>32</v>
      </c>
      <c r="B4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2" s="21">
        <f>B42*$B$7</f>
        <v/>
      </c>
      <c r="H42" s="13" t="n">
        <v>184.6</v>
      </c>
    </row>
    <row r="43">
      <c r="A43" s="20" t="n">
        <v>33</v>
      </c>
      <c r="B4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3" s="21">
        <f>B43*$B$7</f>
        <v/>
      </c>
      <c r="H43" s="13" t="n">
        <v>2077.71</v>
      </c>
    </row>
    <row r="44">
      <c r="A44" s="20" t="n">
        <v>34</v>
      </c>
      <c r="B4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4" s="21">
        <f>B44*$B$7</f>
        <v/>
      </c>
      <c r="H44" s="13" t="n">
        <v>380.65</v>
      </c>
    </row>
    <row r="45">
      <c r="A45" s="20" t="n">
        <v>35</v>
      </c>
      <c r="B4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5" s="21">
        <f>B45*$B$7</f>
        <v/>
      </c>
      <c r="H45" s="13" t="n">
        <v>1440.62</v>
      </c>
    </row>
    <row r="46">
      <c r="A46" s="20" t="n">
        <v>36</v>
      </c>
      <c r="B4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6" s="21">
        <f>B46*$B$7</f>
        <v/>
      </c>
      <c r="H46" s="13" t="n">
        <v>3264.37</v>
      </c>
    </row>
    <row r="47">
      <c r="A47" s="20" t="n">
        <v>37</v>
      </c>
      <c r="B4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7" s="21">
        <f>B47*$B$7</f>
        <v/>
      </c>
      <c r="H47" s="13" t="n">
        <v>10381.81</v>
      </c>
    </row>
    <row r="48">
      <c r="A48" s="20" t="n">
        <v>38</v>
      </c>
      <c r="B4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8" s="21">
        <f>B48*$B$7</f>
        <v/>
      </c>
      <c r="H48" s="13" t="n">
        <v>4785.13</v>
      </c>
    </row>
    <row r="49">
      <c r="A49" s="20" t="n">
        <v>39</v>
      </c>
      <c r="B4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9" s="21">
        <f>B49*$B$7</f>
        <v/>
      </c>
      <c r="H49" s="13" t="n">
        <v>1079.6</v>
      </c>
    </row>
    <row r="50">
      <c r="A50" s="20" t="n">
        <v>40</v>
      </c>
      <c r="B5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0" s="21">
        <f>B50*$B$7</f>
        <v/>
      </c>
      <c r="H50" s="13" t="n">
        <v>6944.81</v>
      </c>
    </row>
    <row r="51">
      <c r="A51" s="20" t="n">
        <v>41</v>
      </c>
      <c r="B5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1" s="21">
        <f>B51*$B$7</f>
        <v/>
      </c>
      <c r="H51" s="13" t="n">
        <v>1269.39</v>
      </c>
    </row>
    <row r="52">
      <c r="A52" s="20" t="n">
        <v>42</v>
      </c>
      <c r="B5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2" s="21">
        <f>B52*$B$7</f>
        <v/>
      </c>
      <c r="H52" s="13" t="n">
        <v>1275.35</v>
      </c>
    </row>
    <row r="53">
      <c r="A53" s="20" t="n">
        <v>43</v>
      </c>
      <c r="B5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3" s="21">
        <f>B53*$B$7</f>
        <v/>
      </c>
      <c r="H53" s="13" t="n">
        <v>2819.11</v>
      </c>
    </row>
    <row r="54">
      <c r="A54" s="20" t="n">
        <v>44</v>
      </c>
      <c r="B5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4" s="21">
        <f>B54*$B$7</f>
        <v/>
      </c>
      <c r="H54" s="13" t="n">
        <v>786.4400000000001</v>
      </c>
    </row>
    <row r="55">
      <c r="A55" s="20" t="n">
        <v>45</v>
      </c>
      <c r="B5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5" s="21">
        <f>B55*$B$7</f>
        <v/>
      </c>
      <c r="H55" s="13" t="n">
        <v>1436.86</v>
      </c>
    </row>
    <row r="56">
      <c r="A56" s="20" t="n">
        <v>46</v>
      </c>
      <c r="B5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6" s="21">
        <f>B56*$B$7</f>
        <v/>
      </c>
      <c r="H56" s="13" t="n">
        <v>2386.4</v>
      </c>
    </row>
    <row r="57">
      <c r="A57" s="20" t="n">
        <v>47</v>
      </c>
      <c r="B5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7" s="21">
        <f>B57*$B$7</f>
        <v/>
      </c>
      <c r="H57" s="13" t="n">
        <v>1201.23</v>
      </c>
    </row>
    <row r="58">
      <c r="A58" s="20" t="n">
        <v>48</v>
      </c>
      <c r="B5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8" s="21">
        <f>B58*$B$7</f>
        <v/>
      </c>
      <c r="H58" s="13" t="n">
        <v>302.98</v>
      </c>
    </row>
    <row r="59">
      <c r="A59" s="20" t="n">
        <v>49</v>
      </c>
      <c r="B5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9" s="21">
        <f>B59*$B$7</f>
        <v/>
      </c>
      <c r="H59" s="13" t="n">
        <v>2529.93</v>
      </c>
    </row>
    <row r="60">
      <c r="A60" s="20" t="n">
        <v>50</v>
      </c>
      <c r="B6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0" s="21">
        <f>B60*$B$7</f>
        <v/>
      </c>
      <c r="H60" s="13" t="n">
        <v>18270.28</v>
      </c>
    </row>
    <row r="61">
      <c r="A61" s="20" t="n">
        <v>51</v>
      </c>
      <c r="B6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1" s="21">
        <f>B61*$B$7</f>
        <v/>
      </c>
      <c r="H61" s="13" t="n">
        <v>284.94</v>
      </c>
    </row>
    <row r="62">
      <c r="A62" s="20" t="n">
        <v>52</v>
      </c>
      <c r="B6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2" s="21">
        <f>B62*$B$7</f>
        <v/>
      </c>
      <c r="H62" s="13" t="n">
        <v>7348.2</v>
      </c>
    </row>
    <row r="63">
      <c r="A63" s="20" t="n">
        <v>53</v>
      </c>
      <c r="B6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3" s="21">
        <f>B63*$B$7</f>
        <v/>
      </c>
      <c r="H63" s="13" t="n">
        <v>1195.39</v>
      </c>
    </row>
    <row r="64">
      <c r="A64" s="20" t="n">
        <v>54</v>
      </c>
      <c r="B6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4" s="21">
        <f>B64*$B$7</f>
        <v/>
      </c>
      <c r="H64" s="13" t="n">
        <v>942.51</v>
      </c>
    </row>
    <row r="65">
      <c r="A65" s="20" t="n">
        <v>55</v>
      </c>
      <c r="B6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5" s="21">
        <f>B65*$B$7</f>
        <v/>
      </c>
      <c r="H65" s="13" t="n">
        <v>649.64</v>
      </c>
    </row>
    <row r="66">
      <c r="A66" s="20" t="n">
        <v>56</v>
      </c>
      <c r="B6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6" s="21">
        <f>B66*$B$7</f>
        <v/>
      </c>
      <c r="H66" s="13" t="n">
        <v>1079.12</v>
      </c>
    </row>
    <row r="67">
      <c r="A67" s="20" t="n">
        <v>57</v>
      </c>
      <c r="B6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7" s="21">
        <f>B67*$B$7</f>
        <v/>
      </c>
      <c r="H67" s="13" t="n">
        <v>754.7</v>
      </c>
    </row>
    <row r="68">
      <c r="A68" s="20" t="n">
        <v>58</v>
      </c>
      <c r="B6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8" s="21">
        <f>B68*$B$7</f>
        <v/>
      </c>
      <c r="H68" s="13" t="n">
        <v>2291.73</v>
      </c>
    </row>
    <row r="69">
      <c r="A69" s="20" t="n">
        <v>59</v>
      </c>
      <c r="B6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9" s="21">
        <f>B69*$B$7</f>
        <v/>
      </c>
      <c r="H69" s="13" t="n">
        <v>1873.51</v>
      </c>
    </row>
    <row r="70">
      <c r="A70" s="20" t="n">
        <v>60</v>
      </c>
      <c r="B7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0" s="21">
        <f>B70*$B$7</f>
        <v/>
      </c>
      <c r="H70" s="13" t="n">
        <v>227.54</v>
      </c>
    </row>
    <row r="71">
      <c r="A71" s="20" t="n">
        <v>61</v>
      </c>
      <c r="B7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1" s="21">
        <f>B71*$B$7</f>
        <v/>
      </c>
      <c r="H71" s="13" t="n">
        <v>272.26</v>
      </c>
    </row>
    <row r="72">
      <c r="A72" s="20" t="n">
        <v>62</v>
      </c>
      <c r="B7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2" s="21">
        <f>B72*$B$7</f>
        <v/>
      </c>
    </row>
    <row r="73">
      <c r="A73" s="20" t="n">
        <v>63</v>
      </c>
      <c r="B7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3" s="21">
        <f>B73*$B$7</f>
        <v/>
      </c>
    </row>
    <row r="74">
      <c r="A74" s="20" t="n">
        <v>64</v>
      </c>
      <c r="B7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4" s="21">
        <f>B74*$B$7</f>
        <v/>
      </c>
    </row>
    <row r="75">
      <c r="A75" s="20" t="n">
        <v>65</v>
      </c>
      <c r="B7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5" s="21">
        <f>B75*$B$7</f>
        <v/>
      </c>
    </row>
    <row r="76">
      <c r="A76" s="20" t="n">
        <v>66</v>
      </c>
      <c r="B7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6" s="21">
        <f>B76*$B$7</f>
        <v/>
      </c>
    </row>
    <row r="77">
      <c r="A77" s="20" t="n">
        <v>67</v>
      </c>
      <c r="B7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7" s="21">
        <f>B77*$B$7</f>
        <v/>
      </c>
    </row>
    <row r="78">
      <c r="A78" s="20" t="n">
        <v>68</v>
      </c>
      <c r="B7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8" s="21">
        <f>B78*$B$7</f>
        <v/>
      </c>
    </row>
    <row r="79">
      <c r="A79" s="20" t="n">
        <v>69</v>
      </c>
      <c r="B7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9" s="21">
        <f>B79*$B$7</f>
        <v/>
      </c>
    </row>
    <row r="80">
      <c r="A80" s="20" t="n">
        <v>70</v>
      </c>
      <c r="B8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0" s="21">
        <f>B80*$B$7</f>
        <v/>
      </c>
    </row>
    <row r="81">
      <c r="A81" s="20" t="n">
        <v>71</v>
      </c>
      <c r="B8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1" s="21">
        <f>B81*$B$7</f>
        <v/>
      </c>
    </row>
    <row r="82">
      <c r="A82" s="20" t="n">
        <v>72</v>
      </c>
      <c r="B8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2" s="21">
        <f>B82*$B$7</f>
        <v/>
      </c>
    </row>
    <row r="83">
      <c r="A83" s="20" t="n">
        <v>73</v>
      </c>
      <c r="B8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3" s="21">
        <f>B83*$B$7</f>
        <v/>
      </c>
    </row>
    <row r="84">
      <c r="A84" s="20" t="n">
        <v>74</v>
      </c>
      <c r="B8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4" s="21">
        <f>B84*$B$7</f>
        <v/>
      </c>
    </row>
    <row r="85">
      <c r="A85" s="20" t="n">
        <v>75</v>
      </c>
      <c r="B8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5" s="21">
        <f>B85*$B$7</f>
        <v/>
      </c>
    </row>
    <row r="86">
      <c r="A86" s="20" t="n">
        <v>76</v>
      </c>
      <c r="B8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6" s="21">
        <f>B86*$B$7</f>
        <v/>
      </c>
    </row>
    <row r="87">
      <c r="A87" s="20" t="n">
        <v>77</v>
      </c>
      <c r="B8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7" s="21">
        <f>B87*$B$7</f>
        <v/>
      </c>
    </row>
    <row r="88">
      <c r="A88" s="20" t="n">
        <v>78</v>
      </c>
      <c r="B8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8" s="21">
        <f>B88*$B$7</f>
        <v/>
      </c>
    </row>
    <row r="89">
      <c r="A89" s="20" t="n">
        <v>79</v>
      </c>
      <c r="B8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9" s="21">
        <f>B89*$B$7</f>
        <v/>
      </c>
    </row>
    <row r="90">
      <c r="A90" s="20" t="n">
        <v>80</v>
      </c>
      <c r="B9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0" s="21">
        <f>B90*$B$7</f>
        <v/>
      </c>
    </row>
    <row r="91">
      <c r="A91" s="20" t="n">
        <v>81</v>
      </c>
      <c r="B9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1" s="21">
        <f>B91*$B$7</f>
        <v/>
      </c>
    </row>
    <row r="92">
      <c r="A92" s="20" t="n">
        <v>82</v>
      </c>
      <c r="B9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2" s="21">
        <f>B92*$B$7</f>
        <v/>
      </c>
    </row>
    <row r="93">
      <c r="A93" s="20" t="n">
        <v>83</v>
      </c>
      <c r="B9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3" s="21">
        <f>B93*$B$7</f>
        <v/>
      </c>
    </row>
    <row r="94">
      <c r="A94" s="20" t="n">
        <v>84</v>
      </c>
      <c r="B9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4" s="21">
        <f>B94*$B$7</f>
        <v/>
      </c>
    </row>
    <row r="95">
      <c r="A95" s="20" t="n">
        <v>85</v>
      </c>
      <c r="B9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5" s="21">
        <f>B95*$B$7</f>
        <v/>
      </c>
    </row>
    <row r="96">
      <c r="A96" s="20" t="n">
        <v>86</v>
      </c>
      <c r="B9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6" s="21">
        <f>B96*$B$7</f>
        <v/>
      </c>
    </row>
    <row r="97">
      <c r="A97" s="20" t="n">
        <v>87</v>
      </c>
      <c r="B9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7" s="21">
        <f>B97*$B$7</f>
        <v/>
      </c>
    </row>
    <row r="98">
      <c r="A98" s="20" t="n">
        <v>88</v>
      </c>
      <c r="B9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8" s="21">
        <f>B98*$B$7</f>
        <v/>
      </c>
    </row>
    <row r="99">
      <c r="A99" s="20" t="n">
        <v>89</v>
      </c>
      <c r="B9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9" s="21">
        <f>B99*$B$7</f>
        <v/>
      </c>
    </row>
    <row r="100">
      <c r="A100" s="20" t="n">
        <v>90</v>
      </c>
      <c r="B10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00" s="21">
        <f>B100*$B$7</f>
        <v/>
      </c>
    </row>
    <row r="101">
      <c r="A101" s="20" t="n">
        <v>91</v>
      </c>
      <c r="B10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01" s="21">
        <f>B101*$B$7</f>
        <v/>
      </c>
    </row>
    <row r="102">
      <c r="A102" s="20" t="n">
        <v>92</v>
      </c>
      <c r="B10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02" s="21">
        <f>B102*$B$7</f>
        <v/>
      </c>
    </row>
    <row r="103">
      <c r="A103" s="20" t="n">
        <v>93</v>
      </c>
      <c r="B10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03" s="21">
        <f>B103*$B$7</f>
        <v/>
      </c>
    </row>
    <row r="104">
      <c r="A104" s="20" t="n">
        <v>94</v>
      </c>
      <c r="B10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04" s="21">
        <f>B104*$B$7</f>
        <v/>
      </c>
    </row>
    <row r="105">
      <c r="A105" s="20" t="n">
        <v>95</v>
      </c>
      <c r="B10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05" s="21">
        <f>B105*$B$7</f>
        <v/>
      </c>
    </row>
    <row r="106">
      <c r="A106" s="20" t="n">
        <v>96</v>
      </c>
      <c r="B10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06" s="21">
        <f>B106*$B$7</f>
        <v/>
      </c>
    </row>
    <row r="107">
      <c r="A107" s="20" t="n">
        <v>97</v>
      </c>
      <c r="B10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07" s="21">
        <f>B107*$B$7</f>
        <v/>
      </c>
    </row>
    <row r="108">
      <c r="A108" s="20" t="n">
        <v>98</v>
      </c>
      <c r="B10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08" s="21">
        <f>B108*$B$7</f>
        <v/>
      </c>
    </row>
    <row r="109">
      <c r="A109" s="20" t="n">
        <v>99</v>
      </c>
      <c r="B10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09" s="21">
        <f>B109*$B$7</f>
        <v/>
      </c>
    </row>
    <row r="110">
      <c r="A110" s="20" t="n">
        <v>100</v>
      </c>
      <c r="B11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10" s="21">
        <f>B110*$B$7</f>
        <v/>
      </c>
    </row>
    <row r="111">
      <c r="A111" s="20" t="n">
        <v>101</v>
      </c>
      <c r="B11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11" s="21">
        <f>B111*$B$7</f>
        <v/>
      </c>
    </row>
    <row r="112">
      <c r="A112" s="20" t="n">
        <v>102</v>
      </c>
      <c r="B11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12" s="21">
        <f>B112*$B$7</f>
        <v/>
      </c>
    </row>
    <row r="113">
      <c r="A113" s="20" t="n">
        <v>103</v>
      </c>
      <c r="B11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13" s="21">
        <f>B113*$B$7</f>
        <v/>
      </c>
    </row>
    <row r="114">
      <c r="A114" s="20" t="n">
        <v>104</v>
      </c>
      <c r="B11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14" s="21">
        <f>B114*$B$7</f>
        <v/>
      </c>
    </row>
    <row r="115">
      <c r="A115" s="20" t="n">
        <v>105</v>
      </c>
      <c r="B11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15" s="21">
        <f>B115*$B$7</f>
        <v/>
      </c>
    </row>
    <row r="116">
      <c r="A116" s="20" t="n">
        <v>106</v>
      </c>
      <c r="B11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16" s="21">
        <f>B116*$B$7</f>
        <v/>
      </c>
    </row>
    <row r="117">
      <c r="A117" s="20" t="n">
        <v>107</v>
      </c>
      <c r="B11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17" s="21">
        <f>B117*$B$7</f>
        <v/>
      </c>
    </row>
    <row r="118">
      <c r="A118" s="20" t="n">
        <v>108</v>
      </c>
      <c r="B11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18" s="21">
        <f>B118*$B$7</f>
        <v/>
      </c>
    </row>
    <row r="119">
      <c r="A119" s="20" t="n">
        <v>109</v>
      </c>
      <c r="B11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19" s="21">
        <f>B119*$B$7</f>
        <v/>
      </c>
    </row>
    <row r="120">
      <c r="A120" s="20" t="n">
        <v>110</v>
      </c>
      <c r="B12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20" s="21">
        <f>B120*$B$7</f>
        <v/>
      </c>
    </row>
    <row r="121">
      <c r="A121" s="20" t="n">
        <v>111</v>
      </c>
      <c r="B12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21" s="21">
        <f>B121*$B$7</f>
        <v/>
      </c>
    </row>
    <row r="122">
      <c r="A122" s="20" t="n">
        <v>112</v>
      </c>
      <c r="B12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22" s="21">
        <f>B122*$B$7</f>
        <v/>
      </c>
    </row>
    <row r="123">
      <c r="A123" s="20" t="n">
        <v>113</v>
      </c>
      <c r="B12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23" s="21">
        <f>B123*$B$7</f>
        <v/>
      </c>
    </row>
    <row r="124">
      <c r="A124" s="20" t="n">
        <v>114</v>
      </c>
      <c r="B12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24" s="21">
        <f>B124*$B$7</f>
        <v/>
      </c>
    </row>
    <row r="125">
      <c r="A125" s="20" t="n">
        <v>115</v>
      </c>
      <c r="B12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25" s="21">
        <f>B125*$B$7</f>
        <v/>
      </c>
    </row>
    <row r="126">
      <c r="A126" s="20" t="n">
        <v>116</v>
      </c>
      <c r="B12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26" s="21">
        <f>B126*$B$7</f>
        <v/>
      </c>
    </row>
    <row r="127">
      <c r="A127" s="20" t="n">
        <v>117</v>
      </c>
      <c r="B12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27" s="21">
        <f>B127*$B$7</f>
        <v/>
      </c>
    </row>
    <row r="128">
      <c r="A128" s="20" t="n">
        <v>118</v>
      </c>
      <c r="B12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28" s="21">
        <f>B128*$B$7</f>
        <v/>
      </c>
    </row>
    <row r="129">
      <c r="A129" s="20" t="n">
        <v>119</v>
      </c>
      <c r="B12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29" s="21">
        <f>B129*$B$7</f>
        <v/>
      </c>
    </row>
    <row r="130">
      <c r="A130" s="20" t="n">
        <v>120</v>
      </c>
      <c r="B13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30" s="21">
        <f>B130*$B$7</f>
        <v/>
      </c>
    </row>
    <row r="131">
      <c r="A131" s="20" t="n">
        <v>121</v>
      </c>
      <c r="B13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31" s="21">
        <f>B131*$B$7</f>
        <v/>
      </c>
    </row>
    <row r="132">
      <c r="A132" s="20" t="n">
        <v>122</v>
      </c>
      <c r="B13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32" s="21">
        <f>B132*$B$7</f>
        <v/>
      </c>
    </row>
    <row r="133">
      <c r="A133" s="20" t="n">
        <v>123</v>
      </c>
      <c r="B13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33" s="21">
        <f>B133*$B$7</f>
        <v/>
      </c>
    </row>
    <row r="134">
      <c r="A134" s="20" t="n">
        <v>124</v>
      </c>
      <c r="B13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34" s="21">
        <f>B134*$B$7</f>
        <v/>
      </c>
    </row>
    <row r="135">
      <c r="A135" s="20" t="n">
        <v>125</v>
      </c>
      <c r="B13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35" s="21">
        <f>B135*$B$7</f>
        <v/>
      </c>
    </row>
    <row r="136">
      <c r="A136" s="20" t="n">
        <v>126</v>
      </c>
      <c r="B13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36" s="21">
        <f>B136*$B$7</f>
        <v/>
      </c>
    </row>
    <row r="137">
      <c r="A137" s="20" t="n">
        <v>127</v>
      </c>
      <c r="B13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37" s="21">
        <f>B137*$B$7</f>
        <v/>
      </c>
    </row>
    <row r="138">
      <c r="A138" s="20" t="n">
        <v>128</v>
      </c>
      <c r="B13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38" s="21">
        <f>B138*$B$7</f>
        <v/>
      </c>
    </row>
    <row r="139">
      <c r="A139" s="20" t="n">
        <v>129</v>
      </c>
      <c r="B13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39" s="21">
        <f>B139*$B$7</f>
        <v/>
      </c>
    </row>
    <row r="140">
      <c r="A140" s="20" t="n">
        <v>130</v>
      </c>
      <c r="B14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40" s="21">
        <f>B140*$B$7</f>
        <v/>
      </c>
    </row>
    <row r="141">
      <c r="A141" s="20" t="n">
        <v>131</v>
      </c>
      <c r="B14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41" s="21">
        <f>B141*$B$7</f>
        <v/>
      </c>
    </row>
    <row r="142">
      <c r="A142" s="20" t="n">
        <v>132</v>
      </c>
      <c r="B14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42" s="21">
        <f>B142*$B$7</f>
        <v/>
      </c>
    </row>
    <row r="143">
      <c r="A143" s="20" t="n">
        <v>133</v>
      </c>
      <c r="B14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43" s="21">
        <f>B143*$B$7</f>
        <v/>
      </c>
    </row>
    <row r="144">
      <c r="A144" s="20" t="n">
        <v>134</v>
      </c>
      <c r="B14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44" s="21">
        <f>B144*$B$7</f>
        <v/>
      </c>
    </row>
    <row r="145">
      <c r="A145" s="20" t="n">
        <v>135</v>
      </c>
      <c r="B14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45" s="21">
        <f>B145*$B$7</f>
        <v/>
      </c>
    </row>
    <row r="146">
      <c r="A146" s="20" t="n">
        <v>136</v>
      </c>
      <c r="B14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46" s="21">
        <f>B146*$B$7</f>
        <v/>
      </c>
    </row>
    <row r="147">
      <c r="A147" s="20" t="n">
        <v>137</v>
      </c>
      <c r="B14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47" s="21">
        <f>B147*$B$7</f>
        <v/>
      </c>
    </row>
    <row r="148">
      <c r="A148" s="20" t="n">
        <v>138</v>
      </c>
      <c r="B14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48" s="21">
        <f>B148*$B$7</f>
        <v/>
      </c>
    </row>
    <row r="149">
      <c r="A149" s="20" t="n">
        <v>139</v>
      </c>
      <c r="B14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49" s="21">
        <f>B149*$B$7</f>
        <v/>
      </c>
    </row>
    <row r="150">
      <c r="A150" s="20" t="n">
        <v>140</v>
      </c>
      <c r="B15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50" s="21">
        <f>B150*$B$7</f>
        <v/>
      </c>
    </row>
    <row r="151">
      <c r="A151" s="20" t="n">
        <v>141</v>
      </c>
      <c r="B15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51" s="21">
        <f>B151*$B$7</f>
        <v/>
      </c>
    </row>
    <row r="152">
      <c r="A152" s="20" t="n">
        <v>142</v>
      </c>
      <c r="B15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52" s="21">
        <f>B152*$B$7</f>
        <v/>
      </c>
    </row>
    <row r="153">
      <c r="A153" s="20" t="n">
        <v>143</v>
      </c>
      <c r="B15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53" s="21">
        <f>B153*$B$7</f>
        <v/>
      </c>
    </row>
    <row r="154">
      <c r="A154" s="20" t="n">
        <v>144</v>
      </c>
      <c r="B15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54" s="21">
        <f>B154*$B$7</f>
        <v/>
      </c>
    </row>
    <row r="155">
      <c r="A155" s="20" t="n">
        <v>145</v>
      </c>
      <c r="B15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55" s="21">
        <f>B155*$B$7</f>
        <v/>
      </c>
    </row>
    <row r="156">
      <c r="A156" s="20" t="n">
        <v>146</v>
      </c>
      <c r="B15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56" s="21">
        <f>B156*$B$7</f>
        <v/>
      </c>
    </row>
    <row r="157">
      <c r="A157" s="20" t="n">
        <v>147</v>
      </c>
      <c r="B15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57" s="21">
        <f>B157*$B$7</f>
        <v/>
      </c>
    </row>
    <row r="158">
      <c r="A158" s="20" t="n">
        <v>148</v>
      </c>
      <c r="B15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58" s="21">
        <f>B158*$B$7</f>
        <v/>
      </c>
    </row>
    <row r="159">
      <c r="A159" s="20" t="n">
        <v>149</v>
      </c>
      <c r="B15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59" s="21">
        <f>B159*$B$7</f>
        <v/>
      </c>
    </row>
    <row r="160">
      <c r="A160" s="20" t="n">
        <v>150</v>
      </c>
      <c r="B16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60" s="21">
        <f>B160*$B$7</f>
        <v/>
      </c>
    </row>
    <row r="161">
      <c r="A161" s="20" t="n">
        <v>151</v>
      </c>
      <c r="B16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61" s="21">
        <f>B161*$B$7</f>
        <v/>
      </c>
    </row>
    <row r="162">
      <c r="A162" s="20" t="n">
        <v>152</v>
      </c>
      <c r="B16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62" s="21">
        <f>B162*$B$7</f>
        <v/>
      </c>
    </row>
    <row r="163">
      <c r="A163" s="20" t="n">
        <v>153</v>
      </c>
      <c r="B16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63" s="21">
        <f>B163*$B$7</f>
        <v/>
      </c>
    </row>
    <row r="164">
      <c r="A164" s="20" t="n">
        <v>154</v>
      </c>
      <c r="B16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64" s="21">
        <f>B164*$B$7</f>
        <v/>
      </c>
    </row>
    <row r="165">
      <c r="A165" s="20" t="n">
        <v>155</v>
      </c>
      <c r="B16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65" s="21">
        <f>B165*$B$7</f>
        <v/>
      </c>
    </row>
    <row r="166">
      <c r="A166" s="20" t="n">
        <v>156</v>
      </c>
      <c r="B16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66" s="21">
        <f>B166*$B$7</f>
        <v/>
      </c>
    </row>
    <row r="167">
      <c r="A167" s="20" t="n">
        <v>157</v>
      </c>
      <c r="B16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67" s="21">
        <f>B167*$B$7</f>
        <v/>
      </c>
    </row>
    <row r="168">
      <c r="A168" s="20" t="n">
        <v>158</v>
      </c>
      <c r="B16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68" s="21">
        <f>B168*$B$7</f>
        <v/>
      </c>
    </row>
    <row r="169">
      <c r="A169" s="20" t="n">
        <v>159</v>
      </c>
      <c r="B16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69" s="21">
        <f>B169*$B$7</f>
        <v/>
      </c>
    </row>
    <row r="170">
      <c r="A170" s="20" t="n">
        <v>160</v>
      </c>
      <c r="B17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70" s="21">
        <f>B170*$B$7</f>
        <v/>
      </c>
    </row>
    <row r="171">
      <c r="A171" s="20" t="n">
        <v>161</v>
      </c>
      <c r="B17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71" s="21">
        <f>B171*$B$7</f>
        <v/>
      </c>
    </row>
    <row r="172">
      <c r="A172" s="20" t="n">
        <v>162</v>
      </c>
      <c r="B17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72" s="21">
        <f>B172*$B$7</f>
        <v/>
      </c>
    </row>
    <row r="173">
      <c r="A173" s="20" t="n">
        <v>163</v>
      </c>
      <c r="B17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73" s="21">
        <f>B173*$B$7</f>
        <v/>
      </c>
    </row>
    <row r="174">
      <c r="A174" s="20" t="n">
        <v>164</v>
      </c>
      <c r="B17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74" s="21">
        <f>B174*$B$7</f>
        <v/>
      </c>
    </row>
    <row r="175">
      <c r="A175" s="20" t="n">
        <v>165</v>
      </c>
      <c r="B17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75" s="21">
        <f>B175*$B$7</f>
        <v/>
      </c>
    </row>
    <row r="176">
      <c r="A176" s="20" t="n">
        <v>166</v>
      </c>
      <c r="B17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76" s="21">
        <f>B176*$B$7</f>
        <v/>
      </c>
    </row>
    <row r="177">
      <c r="A177" s="20" t="n">
        <v>167</v>
      </c>
      <c r="B17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77" s="21">
        <f>B177*$B$7</f>
        <v/>
      </c>
    </row>
    <row r="178">
      <c r="A178" s="20" t="n">
        <v>168</v>
      </c>
      <c r="B17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78" s="21">
        <f>B178*$B$7</f>
        <v/>
      </c>
    </row>
    <row r="179">
      <c r="A179" s="20" t="n">
        <v>169</v>
      </c>
      <c r="B17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79" s="21">
        <f>B179*$B$7</f>
        <v/>
      </c>
    </row>
    <row r="180">
      <c r="A180" s="20" t="n">
        <v>170</v>
      </c>
      <c r="B18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80" s="21">
        <f>B180*$B$7</f>
        <v/>
      </c>
    </row>
    <row r="181">
      <c r="A181" s="20" t="n">
        <v>171</v>
      </c>
      <c r="B18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81" s="21">
        <f>B181*$B$7</f>
        <v/>
      </c>
    </row>
    <row r="182">
      <c r="A182" s="20" t="n">
        <v>172</v>
      </c>
      <c r="B18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82" s="21">
        <f>B182*$B$7</f>
        <v/>
      </c>
    </row>
    <row r="183">
      <c r="A183" s="20" t="n">
        <v>173</v>
      </c>
      <c r="B18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83" s="21">
        <f>B183*$B$7</f>
        <v/>
      </c>
    </row>
    <row r="184">
      <c r="A184" s="20" t="n">
        <v>174</v>
      </c>
      <c r="B18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84" s="21">
        <f>B184*$B$7</f>
        <v/>
      </c>
    </row>
    <row r="185">
      <c r="A185" s="20" t="n">
        <v>175</v>
      </c>
      <c r="B18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85" s="21">
        <f>B185*$B$7</f>
        <v/>
      </c>
    </row>
    <row r="186">
      <c r="A186" s="20" t="n">
        <v>176</v>
      </c>
      <c r="B18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86" s="21">
        <f>B186*$B$7</f>
        <v/>
      </c>
    </row>
    <row r="187">
      <c r="A187" s="20" t="n">
        <v>177</v>
      </c>
      <c r="B18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87" s="21">
        <f>B187*$B$7</f>
        <v/>
      </c>
    </row>
    <row r="188">
      <c r="A188" s="20" t="n">
        <v>178</v>
      </c>
      <c r="B18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88" s="21">
        <f>B188*$B$7</f>
        <v/>
      </c>
    </row>
    <row r="189">
      <c r="A189" s="20" t="n">
        <v>179</v>
      </c>
      <c r="B18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89" s="21">
        <f>B189*$B$7</f>
        <v/>
      </c>
    </row>
    <row r="190">
      <c r="A190" s="20" t="n">
        <v>180</v>
      </c>
      <c r="B19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90" s="21">
        <f>B190*$B$7</f>
        <v/>
      </c>
    </row>
    <row r="191">
      <c r="A191" s="20" t="n">
        <v>181</v>
      </c>
      <c r="B19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91" s="21">
        <f>B191*$B$7</f>
        <v/>
      </c>
    </row>
    <row r="192">
      <c r="A192" s="20" t="n">
        <v>182</v>
      </c>
      <c r="B19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92" s="21">
        <f>B192*$B$7</f>
        <v/>
      </c>
    </row>
    <row r="193">
      <c r="A193" s="20" t="n">
        <v>183</v>
      </c>
      <c r="B19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93" s="21">
        <f>B193*$B$7</f>
        <v/>
      </c>
    </row>
    <row r="194">
      <c r="A194" s="20" t="n">
        <v>184</v>
      </c>
      <c r="B19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94" s="21">
        <f>B194*$B$7</f>
        <v/>
      </c>
    </row>
    <row r="195">
      <c r="A195" s="20" t="n">
        <v>185</v>
      </c>
      <c r="B19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95" s="21">
        <f>B195*$B$7</f>
        <v/>
      </c>
    </row>
    <row r="196">
      <c r="A196" s="20" t="n">
        <v>186</v>
      </c>
      <c r="B19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96" s="21">
        <f>B196*$B$7</f>
        <v/>
      </c>
    </row>
    <row r="197">
      <c r="A197" s="20" t="n">
        <v>187</v>
      </c>
      <c r="B19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97" s="21">
        <f>B197*$B$7</f>
        <v/>
      </c>
    </row>
    <row r="198">
      <c r="A198" s="20" t="n">
        <v>188</v>
      </c>
      <c r="B19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98" s="21">
        <f>B198*$B$7</f>
        <v/>
      </c>
    </row>
    <row r="199">
      <c r="A199" s="20" t="n">
        <v>189</v>
      </c>
      <c r="B19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99" s="21">
        <f>B199*$B$7</f>
        <v/>
      </c>
    </row>
    <row r="200">
      <c r="A200" s="20" t="n">
        <v>190</v>
      </c>
      <c r="B20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00" s="21">
        <f>B200*$B$7</f>
        <v/>
      </c>
    </row>
    <row r="201">
      <c r="A201" s="20" t="n">
        <v>191</v>
      </c>
      <c r="B20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01" s="21">
        <f>B201*$B$7</f>
        <v/>
      </c>
    </row>
    <row r="202">
      <c r="A202" s="20" t="n">
        <v>192</v>
      </c>
      <c r="B20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02" s="21">
        <f>B202*$B$7</f>
        <v/>
      </c>
    </row>
    <row r="203">
      <c r="A203" s="20" t="n">
        <v>193</v>
      </c>
      <c r="B20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03" s="21">
        <f>B203*$B$7</f>
        <v/>
      </c>
    </row>
    <row r="204">
      <c r="A204" s="20" t="n">
        <v>194</v>
      </c>
      <c r="B20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04" s="21">
        <f>B204*$B$7</f>
        <v/>
      </c>
    </row>
    <row r="205">
      <c r="A205" s="20" t="n">
        <v>195</v>
      </c>
      <c r="B20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05" s="21">
        <f>B205*$B$7</f>
        <v/>
      </c>
    </row>
    <row r="206">
      <c r="A206" s="20" t="n">
        <v>196</v>
      </c>
      <c r="B20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06" s="21">
        <f>B206*$B$7</f>
        <v/>
      </c>
    </row>
    <row r="207">
      <c r="A207" s="20" t="n">
        <v>197</v>
      </c>
      <c r="B20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07" s="21">
        <f>B207*$B$7</f>
        <v/>
      </c>
    </row>
    <row r="208">
      <c r="A208" s="20" t="n">
        <v>198</v>
      </c>
      <c r="B20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08" s="21">
        <f>B208*$B$7</f>
        <v/>
      </c>
    </row>
    <row r="209">
      <c r="A209" s="20" t="n">
        <v>199</v>
      </c>
      <c r="B20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09" s="21">
        <f>B209*$B$7</f>
        <v/>
      </c>
    </row>
    <row r="210">
      <c r="A210" s="20" t="n">
        <v>200</v>
      </c>
      <c r="B21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10" s="21">
        <f>B210*$B$7</f>
        <v/>
      </c>
    </row>
    <row r="211">
      <c r="A211" s="20" t="n">
        <v>201</v>
      </c>
      <c r="B21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11" s="21">
        <f>B211*$B$7</f>
        <v/>
      </c>
    </row>
    <row r="212">
      <c r="A212" s="20" t="n">
        <v>202</v>
      </c>
      <c r="B21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12" s="21">
        <f>B212*$B$7</f>
        <v/>
      </c>
    </row>
    <row r="213">
      <c r="A213" s="20" t="n">
        <v>203</v>
      </c>
      <c r="B21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13" s="21">
        <f>B213*$B$7</f>
        <v/>
      </c>
    </row>
    <row r="214">
      <c r="A214" s="20" t="n">
        <v>204</v>
      </c>
      <c r="B21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14" s="21">
        <f>B214*$B$7</f>
        <v/>
      </c>
    </row>
    <row r="215">
      <c r="A215" s="20" t="n">
        <v>205</v>
      </c>
      <c r="B21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15" s="21">
        <f>B215*$B$7</f>
        <v/>
      </c>
    </row>
    <row r="216">
      <c r="A216" s="20" t="n">
        <v>206</v>
      </c>
      <c r="B21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16" s="21">
        <f>B216*$B$7</f>
        <v/>
      </c>
    </row>
    <row r="217">
      <c r="A217" s="20" t="n">
        <v>207</v>
      </c>
      <c r="B21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17" s="21">
        <f>B217*$B$7</f>
        <v/>
      </c>
    </row>
    <row r="218">
      <c r="A218" s="20" t="n">
        <v>208</v>
      </c>
      <c r="B21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18" s="21">
        <f>B218*$B$7</f>
        <v/>
      </c>
    </row>
    <row r="219">
      <c r="A219" s="20" t="n">
        <v>209</v>
      </c>
      <c r="B21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19" s="21">
        <f>B219*$B$7</f>
        <v/>
      </c>
    </row>
    <row r="220">
      <c r="A220" s="20" t="n">
        <v>210</v>
      </c>
      <c r="B22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20" s="21">
        <f>B220*$B$7</f>
        <v/>
      </c>
    </row>
    <row r="221">
      <c r="A221" s="20" t="n">
        <v>211</v>
      </c>
      <c r="B22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21" s="21">
        <f>B221*$B$7</f>
        <v/>
      </c>
    </row>
    <row r="222">
      <c r="A222" s="20" t="n">
        <v>212</v>
      </c>
      <c r="B22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22" s="21">
        <f>B222*$B$7</f>
        <v/>
      </c>
    </row>
    <row r="223">
      <c r="A223" s="20" t="n">
        <v>213</v>
      </c>
      <c r="B22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23" s="21">
        <f>B223*$B$7</f>
        <v/>
      </c>
    </row>
    <row r="224">
      <c r="A224" s="20" t="n">
        <v>214</v>
      </c>
      <c r="B22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24" s="21">
        <f>B224*$B$7</f>
        <v/>
      </c>
    </row>
    <row r="225">
      <c r="A225" s="20" t="n">
        <v>215</v>
      </c>
      <c r="B22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25" s="21">
        <f>B225*$B$7</f>
        <v/>
      </c>
    </row>
    <row r="226">
      <c r="A226" s="20" t="n">
        <v>216</v>
      </c>
      <c r="B22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26" s="21">
        <f>B226*$B$7</f>
        <v/>
      </c>
    </row>
    <row r="227">
      <c r="A227" s="20" t="n">
        <v>217</v>
      </c>
      <c r="B22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27" s="21">
        <f>B227*$B$7</f>
        <v/>
      </c>
    </row>
    <row r="228">
      <c r="A228" s="20" t="n">
        <v>218</v>
      </c>
      <c r="B22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28" s="21">
        <f>B228*$B$7</f>
        <v/>
      </c>
    </row>
    <row r="229">
      <c r="A229" s="20" t="n">
        <v>219</v>
      </c>
      <c r="B22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29" s="21">
        <f>B229*$B$7</f>
        <v/>
      </c>
    </row>
    <row r="230">
      <c r="A230" s="20" t="n">
        <v>220</v>
      </c>
      <c r="B23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30" s="21">
        <f>B230*$B$7</f>
        <v/>
      </c>
    </row>
    <row r="231">
      <c r="A231" s="20" t="n">
        <v>221</v>
      </c>
      <c r="B23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31" s="21">
        <f>B231*$B$7</f>
        <v/>
      </c>
    </row>
    <row r="232">
      <c r="A232" s="20" t="n">
        <v>222</v>
      </c>
      <c r="B23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32" s="21">
        <f>B232*$B$7</f>
        <v/>
      </c>
    </row>
    <row r="233">
      <c r="A233" s="20" t="n">
        <v>223</v>
      </c>
      <c r="B23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33" s="21">
        <f>B233*$B$7</f>
        <v/>
      </c>
    </row>
    <row r="234">
      <c r="A234" s="20" t="n">
        <v>224</v>
      </c>
      <c r="B23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34" s="21">
        <f>B234*$B$7</f>
        <v/>
      </c>
    </row>
    <row r="235">
      <c r="A235" s="20" t="n">
        <v>225</v>
      </c>
      <c r="B23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35" s="21">
        <f>B235*$B$7</f>
        <v/>
      </c>
    </row>
    <row r="236">
      <c r="A236" s="20" t="n">
        <v>226</v>
      </c>
      <c r="B23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36" s="21">
        <f>B236*$B$7</f>
        <v/>
      </c>
    </row>
    <row r="237">
      <c r="A237" s="20" t="n">
        <v>227</v>
      </c>
      <c r="B23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37" s="21">
        <f>B237*$B$7</f>
        <v/>
      </c>
    </row>
    <row r="238">
      <c r="A238" s="20" t="n">
        <v>228</v>
      </c>
      <c r="B23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38" s="21">
        <f>B238*$B$7</f>
        <v/>
      </c>
    </row>
    <row r="239">
      <c r="A239" s="20" t="n">
        <v>229</v>
      </c>
      <c r="B23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39" s="21">
        <f>B239*$B$7</f>
        <v/>
      </c>
    </row>
    <row r="240">
      <c r="A240" s="20" t="n">
        <v>230</v>
      </c>
      <c r="B24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40" s="21">
        <f>B240*$B$7</f>
        <v/>
      </c>
    </row>
    <row r="241">
      <c r="A241" s="20" t="n">
        <v>231</v>
      </c>
      <c r="B24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41" s="21">
        <f>B241*$B$7</f>
        <v/>
      </c>
    </row>
    <row r="242">
      <c r="A242" s="20" t="n">
        <v>232</v>
      </c>
      <c r="B24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42" s="21">
        <f>B242*$B$7</f>
        <v/>
      </c>
    </row>
    <row r="243">
      <c r="A243" s="20" t="n">
        <v>233</v>
      </c>
      <c r="B24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43" s="21">
        <f>B243*$B$7</f>
        <v/>
      </c>
    </row>
    <row r="244">
      <c r="A244" s="20" t="n">
        <v>234</v>
      </c>
      <c r="B24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44" s="21">
        <f>B244*$B$7</f>
        <v/>
      </c>
    </row>
    <row r="245">
      <c r="A245" s="20" t="n">
        <v>235</v>
      </c>
      <c r="B24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45" s="21">
        <f>B245*$B$7</f>
        <v/>
      </c>
    </row>
    <row r="246">
      <c r="A246" s="20" t="n">
        <v>236</v>
      </c>
      <c r="B24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46" s="21">
        <f>B246*$B$7</f>
        <v/>
      </c>
    </row>
    <row r="247">
      <c r="A247" s="20" t="n">
        <v>237</v>
      </c>
      <c r="B24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47" s="21">
        <f>B247*$B$7</f>
        <v/>
      </c>
    </row>
    <row r="248">
      <c r="A248" s="20" t="n">
        <v>238</v>
      </c>
      <c r="B24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48" s="21">
        <f>B248*$B$7</f>
        <v/>
      </c>
    </row>
    <row r="249">
      <c r="A249" s="20" t="n">
        <v>239</v>
      </c>
      <c r="B24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49" s="21">
        <f>B249*$B$7</f>
        <v/>
      </c>
    </row>
    <row r="250">
      <c r="A250" s="20" t="n">
        <v>240</v>
      </c>
      <c r="B25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50" s="21">
        <f>B250*$B$7</f>
        <v/>
      </c>
    </row>
    <row r="251">
      <c r="A251" s="20" t="n">
        <v>241</v>
      </c>
      <c r="B25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51" s="21">
        <f>B251*$B$7</f>
        <v/>
      </c>
    </row>
    <row r="252">
      <c r="A252" s="20" t="n">
        <v>242</v>
      </c>
      <c r="B25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52" s="21">
        <f>B252*$B$7</f>
        <v/>
      </c>
    </row>
    <row r="253">
      <c r="A253" s="20" t="n">
        <v>243</v>
      </c>
      <c r="B25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53" s="21">
        <f>B253*$B$7</f>
        <v/>
      </c>
    </row>
    <row r="254">
      <c r="A254" s="20" t="n">
        <v>244</v>
      </c>
      <c r="B25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54" s="21">
        <f>B254*$B$7</f>
        <v/>
      </c>
    </row>
    <row r="255">
      <c r="A255" s="20" t="n">
        <v>245</v>
      </c>
      <c r="B25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55" s="21">
        <f>B255*$B$7</f>
        <v/>
      </c>
    </row>
    <row r="256">
      <c r="A256" s="20" t="n">
        <v>246</v>
      </c>
      <c r="B25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56" s="21">
        <f>B256*$B$7</f>
        <v/>
      </c>
    </row>
    <row r="257">
      <c r="A257" s="20" t="n">
        <v>247</v>
      </c>
      <c r="B25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57" s="21">
        <f>B257*$B$7</f>
        <v/>
      </c>
    </row>
    <row r="258">
      <c r="A258" s="20" t="n">
        <v>248</v>
      </c>
      <c r="B25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58" s="21">
        <f>B258*$B$7</f>
        <v/>
      </c>
    </row>
    <row r="259">
      <c r="A259" s="20" t="n">
        <v>249</v>
      </c>
      <c r="B25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59" s="21">
        <f>B259*$B$7</f>
        <v/>
      </c>
    </row>
    <row r="260">
      <c r="A260" s="20" t="n">
        <v>250</v>
      </c>
      <c r="B26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60" s="21">
        <f>B260*$B$7</f>
        <v/>
      </c>
    </row>
    <row r="261">
      <c r="A261" s="20" t="n">
        <v>251</v>
      </c>
      <c r="B26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61" s="21">
        <f>B261*$B$7</f>
        <v/>
      </c>
    </row>
    <row r="262">
      <c r="A262" s="20" t="n">
        <v>252</v>
      </c>
      <c r="B26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62" s="21">
        <f>B262*$B$7</f>
        <v/>
      </c>
    </row>
    <row r="263">
      <c r="A263" s="20" t="n">
        <v>253</v>
      </c>
      <c r="B26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63" s="21">
        <f>B263*$B$7</f>
        <v/>
      </c>
    </row>
    <row r="264">
      <c r="A264" s="20" t="n">
        <v>254</v>
      </c>
      <c r="B26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64" s="21">
        <f>B264*$B$7</f>
        <v/>
      </c>
    </row>
    <row r="265">
      <c r="A265" s="20" t="n">
        <v>255</v>
      </c>
      <c r="B26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65" s="21">
        <f>B265*$B$7</f>
        <v/>
      </c>
    </row>
    <row r="266">
      <c r="A266" s="20" t="n">
        <v>256</v>
      </c>
      <c r="B26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66" s="21">
        <f>B266*$B$7</f>
        <v/>
      </c>
    </row>
    <row r="267">
      <c r="A267" s="20" t="n">
        <v>257</v>
      </c>
      <c r="B26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67" s="21">
        <f>B267*$B$7</f>
        <v/>
      </c>
    </row>
    <row r="268">
      <c r="A268" s="20" t="n">
        <v>258</v>
      </c>
      <c r="B26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68" s="21">
        <f>B268*$B$7</f>
        <v/>
      </c>
    </row>
    <row r="269">
      <c r="A269" s="20" t="n">
        <v>259</v>
      </c>
      <c r="B26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69" s="21">
        <f>B269*$B$7</f>
        <v/>
      </c>
    </row>
    <row r="270">
      <c r="A270" s="20" t="n">
        <v>260</v>
      </c>
      <c r="B27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70" s="21">
        <f>B270*$B$7</f>
        <v/>
      </c>
    </row>
    <row r="271">
      <c r="A271" s="20" t="n">
        <v>261</v>
      </c>
      <c r="B27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71" s="21">
        <f>B271*$B$7</f>
        <v/>
      </c>
    </row>
    <row r="272">
      <c r="A272" s="20" t="n">
        <v>262</v>
      </c>
      <c r="B27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72" s="21">
        <f>B272*$B$7</f>
        <v/>
      </c>
    </row>
    <row r="273">
      <c r="A273" s="20" t="n">
        <v>263</v>
      </c>
      <c r="B27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73" s="21">
        <f>B273*$B$7</f>
        <v/>
      </c>
    </row>
    <row r="274">
      <c r="A274" s="20" t="n">
        <v>264</v>
      </c>
      <c r="B27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74" s="21">
        <f>B274*$B$7</f>
        <v/>
      </c>
    </row>
    <row r="275">
      <c r="A275" s="20" t="n">
        <v>265</v>
      </c>
      <c r="B27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75" s="21">
        <f>B275*$B$7</f>
        <v/>
      </c>
    </row>
    <row r="276">
      <c r="A276" s="20" t="n">
        <v>266</v>
      </c>
      <c r="B27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76" s="21">
        <f>B276*$B$7</f>
        <v/>
      </c>
    </row>
    <row r="277">
      <c r="A277" s="20" t="n">
        <v>267</v>
      </c>
      <c r="B27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77" s="21">
        <f>B277*$B$7</f>
        <v/>
      </c>
    </row>
    <row r="278">
      <c r="A278" s="20" t="n">
        <v>268</v>
      </c>
      <c r="B27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78" s="21">
        <f>B278*$B$7</f>
        <v/>
      </c>
    </row>
    <row r="279">
      <c r="A279" s="20" t="n">
        <v>269</v>
      </c>
      <c r="B27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79" s="21">
        <f>B279*$B$7</f>
        <v/>
      </c>
    </row>
    <row r="280">
      <c r="A280" s="20" t="n">
        <v>270</v>
      </c>
      <c r="B28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80" s="21">
        <f>B280*$B$7</f>
        <v/>
      </c>
    </row>
    <row r="281">
      <c r="A281" s="20" t="n">
        <v>271</v>
      </c>
      <c r="B28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81" s="21">
        <f>B281*$B$7</f>
        <v/>
      </c>
    </row>
    <row r="282">
      <c r="A282" s="20" t="n">
        <v>272</v>
      </c>
      <c r="B28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82" s="21">
        <f>B282*$B$7</f>
        <v/>
      </c>
    </row>
    <row r="283">
      <c r="A283" s="20" t="n">
        <v>273</v>
      </c>
      <c r="B28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83" s="21">
        <f>B283*$B$7</f>
        <v/>
      </c>
    </row>
    <row r="284">
      <c r="A284" s="20" t="n">
        <v>274</v>
      </c>
      <c r="B28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84" s="21">
        <f>B284*$B$7</f>
        <v/>
      </c>
    </row>
    <row r="285">
      <c r="A285" s="20" t="n">
        <v>275</v>
      </c>
      <c r="B28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85" s="21">
        <f>B285*$B$7</f>
        <v/>
      </c>
    </row>
    <row r="286">
      <c r="A286" s="20" t="n">
        <v>276</v>
      </c>
      <c r="B28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86" s="21">
        <f>B286*$B$7</f>
        <v/>
      </c>
    </row>
    <row r="287">
      <c r="A287" s="20" t="n">
        <v>277</v>
      </c>
      <c r="B28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87" s="21">
        <f>B287*$B$7</f>
        <v/>
      </c>
    </row>
    <row r="288">
      <c r="A288" s="20" t="n">
        <v>278</v>
      </c>
      <c r="B28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88" s="21">
        <f>B288*$B$7</f>
        <v/>
      </c>
    </row>
    <row r="289">
      <c r="A289" s="20" t="n">
        <v>279</v>
      </c>
      <c r="B28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89" s="21">
        <f>B289*$B$7</f>
        <v/>
      </c>
    </row>
    <row r="290">
      <c r="A290" s="20" t="n">
        <v>280</v>
      </c>
      <c r="B29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90" s="21">
        <f>B290*$B$7</f>
        <v/>
      </c>
    </row>
    <row r="291">
      <c r="A291" s="20" t="n">
        <v>281</v>
      </c>
      <c r="B29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91" s="21">
        <f>B291*$B$7</f>
        <v/>
      </c>
    </row>
    <row r="292">
      <c r="A292" s="20" t="n">
        <v>282</v>
      </c>
      <c r="B29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92" s="21">
        <f>B292*$B$7</f>
        <v/>
      </c>
    </row>
    <row r="293">
      <c r="A293" s="20" t="n">
        <v>283</v>
      </c>
      <c r="B29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93" s="21">
        <f>B293*$B$7</f>
        <v/>
      </c>
    </row>
    <row r="294">
      <c r="A294" s="20" t="n">
        <v>284</v>
      </c>
      <c r="B29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94" s="21">
        <f>B294*$B$7</f>
        <v/>
      </c>
    </row>
    <row r="295">
      <c r="A295" s="20" t="n">
        <v>285</v>
      </c>
      <c r="B29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95" s="21">
        <f>B295*$B$7</f>
        <v/>
      </c>
    </row>
    <row r="296">
      <c r="A296" s="20" t="n">
        <v>286</v>
      </c>
      <c r="B29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96" s="21">
        <f>B296*$B$7</f>
        <v/>
      </c>
    </row>
    <row r="297">
      <c r="A297" s="20" t="n">
        <v>287</v>
      </c>
      <c r="B29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97" s="21">
        <f>B297*$B$7</f>
        <v/>
      </c>
    </row>
    <row r="298">
      <c r="A298" s="20" t="n">
        <v>288</v>
      </c>
      <c r="B29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98" s="21">
        <f>B298*$B$7</f>
        <v/>
      </c>
    </row>
    <row r="299">
      <c r="A299" s="20" t="n">
        <v>289</v>
      </c>
      <c r="B29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299" s="21">
        <f>B299*$B$7</f>
        <v/>
      </c>
    </row>
    <row r="300">
      <c r="A300" s="20" t="n">
        <v>290</v>
      </c>
      <c r="B30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00" s="21">
        <f>B300*$B$7</f>
        <v/>
      </c>
    </row>
    <row r="301">
      <c r="A301" s="20" t="n">
        <v>291</v>
      </c>
      <c r="B30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01" s="21">
        <f>B301*$B$7</f>
        <v/>
      </c>
    </row>
    <row r="302">
      <c r="A302" s="20" t="n">
        <v>292</v>
      </c>
      <c r="B30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02" s="21">
        <f>B302*$B$7</f>
        <v/>
      </c>
    </row>
    <row r="303">
      <c r="A303" s="20" t="n">
        <v>293</v>
      </c>
      <c r="B30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03" s="21">
        <f>B303*$B$7</f>
        <v/>
      </c>
    </row>
    <row r="304">
      <c r="A304" s="20" t="n">
        <v>294</v>
      </c>
      <c r="B30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04" s="21">
        <f>B304*$B$7</f>
        <v/>
      </c>
    </row>
    <row r="305">
      <c r="A305" s="20" t="n">
        <v>295</v>
      </c>
      <c r="B30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05" s="21">
        <f>B305*$B$7</f>
        <v/>
      </c>
    </row>
    <row r="306">
      <c r="A306" s="20" t="n">
        <v>296</v>
      </c>
      <c r="B30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06" s="21">
        <f>B306*$B$7</f>
        <v/>
      </c>
    </row>
    <row r="307">
      <c r="A307" s="20" t="n">
        <v>297</v>
      </c>
      <c r="B30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07" s="21">
        <f>B307*$B$7</f>
        <v/>
      </c>
    </row>
    <row r="308">
      <c r="A308" s="20" t="n">
        <v>298</v>
      </c>
      <c r="B30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08" s="21">
        <f>B308*$B$7</f>
        <v/>
      </c>
    </row>
    <row r="309">
      <c r="A309" s="20" t="n">
        <v>299</v>
      </c>
      <c r="B30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09" s="21">
        <f>B309*$B$7</f>
        <v/>
      </c>
    </row>
    <row r="310">
      <c r="A310" s="20" t="n">
        <v>300</v>
      </c>
      <c r="B31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10" s="21">
        <f>B310*$B$7</f>
        <v/>
      </c>
    </row>
    <row r="311">
      <c r="A311" s="20" t="n">
        <v>301</v>
      </c>
      <c r="B31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11" s="21">
        <f>B311*$B$7</f>
        <v/>
      </c>
    </row>
    <row r="312">
      <c r="A312" s="20" t="n">
        <v>302</v>
      </c>
      <c r="B31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12" s="21">
        <f>B312*$B$7</f>
        <v/>
      </c>
    </row>
    <row r="313">
      <c r="A313" s="20" t="n">
        <v>303</v>
      </c>
      <c r="B31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13" s="21">
        <f>B313*$B$7</f>
        <v/>
      </c>
    </row>
    <row r="314">
      <c r="A314" s="20" t="n">
        <v>304</v>
      </c>
      <c r="B31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14" s="21">
        <f>B314*$B$7</f>
        <v/>
      </c>
    </row>
    <row r="315">
      <c r="A315" s="20" t="n">
        <v>305</v>
      </c>
      <c r="B31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15" s="21">
        <f>B315*$B$7</f>
        <v/>
      </c>
    </row>
    <row r="316">
      <c r="A316" s="20" t="n">
        <v>306</v>
      </c>
      <c r="B31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16" s="21">
        <f>B316*$B$7</f>
        <v/>
      </c>
    </row>
    <row r="317">
      <c r="A317" s="20" t="n">
        <v>307</v>
      </c>
      <c r="B31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17" s="21">
        <f>B317*$B$7</f>
        <v/>
      </c>
    </row>
    <row r="318">
      <c r="A318" s="20" t="n">
        <v>308</v>
      </c>
      <c r="B31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18" s="21">
        <f>B318*$B$7</f>
        <v/>
      </c>
    </row>
    <row r="319">
      <c r="A319" s="20" t="n">
        <v>309</v>
      </c>
      <c r="B31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19" s="21">
        <f>B319*$B$7</f>
        <v/>
      </c>
    </row>
    <row r="320">
      <c r="A320" s="20" t="n">
        <v>310</v>
      </c>
      <c r="B32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20" s="21">
        <f>B320*$B$7</f>
        <v/>
      </c>
    </row>
    <row r="321">
      <c r="A321" s="20" t="n">
        <v>311</v>
      </c>
      <c r="B32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21" s="21">
        <f>B321*$B$7</f>
        <v/>
      </c>
    </row>
    <row r="322">
      <c r="A322" s="20" t="n">
        <v>312</v>
      </c>
      <c r="B32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22" s="21">
        <f>B322*$B$7</f>
        <v/>
      </c>
    </row>
    <row r="323">
      <c r="A323" s="20" t="n">
        <v>313</v>
      </c>
      <c r="B32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23" s="21">
        <f>B323*$B$7</f>
        <v/>
      </c>
    </row>
    <row r="324">
      <c r="A324" s="20" t="n">
        <v>314</v>
      </c>
      <c r="B32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24" s="21">
        <f>B324*$B$7</f>
        <v/>
      </c>
    </row>
    <row r="325">
      <c r="A325" s="20" t="n">
        <v>315</v>
      </c>
      <c r="B32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25" s="21">
        <f>B325*$B$7</f>
        <v/>
      </c>
    </row>
    <row r="326">
      <c r="A326" s="20" t="n">
        <v>316</v>
      </c>
      <c r="B32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26" s="21">
        <f>B326*$B$7</f>
        <v/>
      </c>
    </row>
    <row r="327">
      <c r="A327" s="20" t="n">
        <v>317</v>
      </c>
      <c r="B32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27" s="21">
        <f>B327*$B$7</f>
        <v/>
      </c>
    </row>
    <row r="328">
      <c r="A328" s="20" t="n">
        <v>318</v>
      </c>
      <c r="B32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28" s="21">
        <f>B328*$B$7</f>
        <v/>
      </c>
    </row>
    <row r="329">
      <c r="A329" s="20" t="n">
        <v>319</v>
      </c>
      <c r="B32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29" s="21">
        <f>B329*$B$7</f>
        <v/>
      </c>
    </row>
    <row r="330">
      <c r="A330" s="20" t="n">
        <v>320</v>
      </c>
      <c r="B33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30" s="21">
        <f>B330*$B$7</f>
        <v/>
      </c>
    </row>
    <row r="331">
      <c r="A331" s="20" t="n">
        <v>321</v>
      </c>
      <c r="B33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31" s="21">
        <f>B331*$B$7</f>
        <v/>
      </c>
    </row>
    <row r="332">
      <c r="A332" s="20" t="n">
        <v>322</v>
      </c>
      <c r="B33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32" s="21">
        <f>B332*$B$7</f>
        <v/>
      </c>
    </row>
    <row r="333">
      <c r="A333" s="20" t="n">
        <v>323</v>
      </c>
      <c r="B33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33" s="21">
        <f>B333*$B$7</f>
        <v/>
      </c>
    </row>
    <row r="334">
      <c r="A334" s="20" t="n">
        <v>324</v>
      </c>
      <c r="B33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34" s="21">
        <f>B334*$B$7</f>
        <v/>
      </c>
    </row>
    <row r="335">
      <c r="A335" s="20" t="n">
        <v>325</v>
      </c>
      <c r="B33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35" s="21">
        <f>B335*$B$7</f>
        <v/>
      </c>
    </row>
    <row r="336">
      <c r="A336" s="20" t="n">
        <v>326</v>
      </c>
      <c r="B33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36" s="21">
        <f>B336*$B$7</f>
        <v/>
      </c>
    </row>
    <row r="337">
      <c r="A337" s="20" t="n">
        <v>327</v>
      </c>
      <c r="B33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37" s="21">
        <f>B337*$B$7</f>
        <v/>
      </c>
    </row>
    <row r="338">
      <c r="A338" s="20" t="n">
        <v>328</v>
      </c>
      <c r="B33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38" s="21">
        <f>B338*$B$7</f>
        <v/>
      </c>
    </row>
    <row r="339">
      <c r="A339" s="20" t="n">
        <v>329</v>
      </c>
      <c r="B33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39" s="21">
        <f>B339*$B$7</f>
        <v/>
      </c>
    </row>
    <row r="340">
      <c r="A340" s="20" t="n">
        <v>330</v>
      </c>
      <c r="B34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40" s="21">
        <f>B340*$B$7</f>
        <v/>
      </c>
    </row>
    <row r="341">
      <c r="A341" s="20" t="n">
        <v>331</v>
      </c>
      <c r="B34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41" s="21">
        <f>B341*$B$7</f>
        <v/>
      </c>
    </row>
    <row r="342">
      <c r="A342" s="20" t="n">
        <v>332</v>
      </c>
      <c r="B34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42" s="21">
        <f>B342*$B$7</f>
        <v/>
      </c>
    </row>
    <row r="343">
      <c r="A343" s="20" t="n">
        <v>333</v>
      </c>
      <c r="B34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43" s="21">
        <f>B343*$B$7</f>
        <v/>
      </c>
    </row>
    <row r="344">
      <c r="A344" s="20" t="n">
        <v>334</v>
      </c>
      <c r="B34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44" s="21">
        <f>B344*$B$7</f>
        <v/>
      </c>
    </row>
    <row r="345">
      <c r="A345" s="20" t="n">
        <v>335</v>
      </c>
      <c r="B34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45" s="21">
        <f>B345*$B$7</f>
        <v/>
      </c>
    </row>
    <row r="346">
      <c r="A346" s="20" t="n">
        <v>336</v>
      </c>
      <c r="B34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46" s="21">
        <f>B346*$B$7</f>
        <v/>
      </c>
    </row>
    <row r="347">
      <c r="A347" s="20" t="n">
        <v>337</v>
      </c>
      <c r="B34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47" s="21">
        <f>B347*$B$7</f>
        <v/>
      </c>
    </row>
    <row r="348">
      <c r="A348" s="20" t="n">
        <v>338</v>
      </c>
      <c r="B34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48" s="21">
        <f>B348*$B$7</f>
        <v/>
      </c>
    </row>
    <row r="349">
      <c r="A349" s="20" t="n">
        <v>339</v>
      </c>
      <c r="B34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49" s="21">
        <f>B349*$B$7</f>
        <v/>
      </c>
    </row>
    <row r="350">
      <c r="A350" s="20" t="n">
        <v>340</v>
      </c>
      <c r="B35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50" s="21">
        <f>B350*$B$7</f>
        <v/>
      </c>
    </row>
    <row r="351">
      <c r="A351" s="20" t="n">
        <v>341</v>
      </c>
      <c r="B35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51" s="21">
        <f>B351*$B$7</f>
        <v/>
      </c>
    </row>
    <row r="352">
      <c r="A352" s="20" t="n">
        <v>342</v>
      </c>
      <c r="B35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52" s="21">
        <f>B352*$B$7</f>
        <v/>
      </c>
    </row>
    <row r="353">
      <c r="A353" s="20" t="n">
        <v>343</v>
      </c>
      <c r="B35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53" s="21">
        <f>B353*$B$7</f>
        <v/>
      </c>
    </row>
    <row r="354">
      <c r="A354" s="20" t="n">
        <v>344</v>
      </c>
      <c r="B35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54" s="21">
        <f>B354*$B$7</f>
        <v/>
      </c>
    </row>
    <row r="355">
      <c r="A355" s="20" t="n">
        <v>345</v>
      </c>
      <c r="B35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55" s="21">
        <f>B355*$B$7</f>
        <v/>
      </c>
    </row>
    <row r="356">
      <c r="A356" s="20" t="n">
        <v>346</v>
      </c>
      <c r="B35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56" s="21">
        <f>B356*$B$7</f>
        <v/>
      </c>
    </row>
    <row r="357">
      <c r="A357" s="20" t="n">
        <v>347</v>
      </c>
      <c r="B35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57" s="21">
        <f>B357*$B$7</f>
        <v/>
      </c>
    </row>
    <row r="358">
      <c r="A358" s="20" t="n">
        <v>348</v>
      </c>
      <c r="B35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58" s="21">
        <f>B358*$B$7</f>
        <v/>
      </c>
    </row>
    <row r="359">
      <c r="A359" s="20" t="n">
        <v>349</v>
      </c>
      <c r="B35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59" s="21">
        <f>B359*$B$7</f>
        <v/>
      </c>
    </row>
    <row r="360">
      <c r="A360" s="20" t="n">
        <v>350</v>
      </c>
      <c r="B36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60" s="21">
        <f>B360*$B$7</f>
        <v/>
      </c>
    </row>
    <row r="361">
      <c r="A361" s="20" t="n">
        <v>351</v>
      </c>
      <c r="B36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61" s="21">
        <f>B361*$B$7</f>
        <v/>
      </c>
    </row>
    <row r="362">
      <c r="A362" s="20" t="n">
        <v>352</v>
      </c>
      <c r="B36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62" s="21">
        <f>B362*$B$7</f>
        <v/>
      </c>
    </row>
    <row r="363">
      <c r="A363" s="20" t="n">
        <v>353</v>
      </c>
      <c r="B36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63" s="21">
        <f>B363*$B$7</f>
        <v/>
      </c>
    </row>
    <row r="364">
      <c r="A364" s="20" t="n">
        <v>354</v>
      </c>
      <c r="B36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64" s="21">
        <f>B364*$B$7</f>
        <v/>
      </c>
    </row>
    <row r="365">
      <c r="A365" s="20" t="n">
        <v>355</v>
      </c>
      <c r="B36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65" s="21">
        <f>B365*$B$7</f>
        <v/>
      </c>
    </row>
    <row r="366">
      <c r="A366" s="20" t="n">
        <v>356</v>
      </c>
      <c r="B36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66" s="21">
        <f>B366*$B$7</f>
        <v/>
      </c>
    </row>
    <row r="367">
      <c r="A367" s="20" t="n">
        <v>357</v>
      </c>
      <c r="B36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67" s="21">
        <f>B367*$B$7</f>
        <v/>
      </c>
    </row>
    <row r="368">
      <c r="A368" s="20" t="n">
        <v>358</v>
      </c>
      <c r="B36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68" s="21">
        <f>B368*$B$7</f>
        <v/>
      </c>
    </row>
    <row r="369">
      <c r="A369" s="20" t="n">
        <v>359</v>
      </c>
      <c r="B36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69" s="21">
        <f>B369*$B$7</f>
        <v/>
      </c>
    </row>
    <row r="370">
      <c r="A370" s="20" t="n">
        <v>360</v>
      </c>
      <c r="B37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70" s="21">
        <f>B370*$B$7</f>
        <v/>
      </c>
    </row>
    <row r="371">
      <c r="A371" s="20" t="n">
        <v>361</v>
      </c>
      <c r="B37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71" s="21">
        <f>B371*$B$7</f>
        <v/>
      </c>
    </row>
    <row r="372">
      <c r="A372" s="20" t="n">
        <v>362</v>
      </c>
      <c r="B37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72" s="21">
        <f>B372*$B$7</f>
        <v/>
      </c>
    </row>
    <row r="373">
      <c r="A373" s="20" t="n">
        <v>363</v>
      </c>
      <c r="B37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73" s="21">
        <f>B373*$B$7</f>
        <v/>
      </c>
    </row>
    <row r="374">
      <c r="A374" s="20" t="n">
        <v>364</v>
      </c>
      <c r="B37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74" s="21">
        <f>B374*$B$7</f>
        <v/>
      </c>
    </row>
    <row r="375">
      <c r="A375" s="20" t="n">
        <v>365</v>
      </c>
      <c r="B37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75" s="21">
        <f>B375*$B$7</f>
        <v/>
      </c>
    </row>
    <row r="376">
      <c r="A376" s="20" t="n">
        <v>366</v>
      </c>
      <c r="B37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76" s="21">
        <f>B376*$B$7</f>
        <v/>
      </c>
    </row>
    <row r="377">
      <c r="A377" s="20" t="n">
        <v>367</v>
      </c>
      <c r="B37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77" s="21">
        <f>B377*$B$7</f>
        <v/>
      </c>
    </row>
    <row r="378">
      <c r="A378" s="20" t="n">
        <v>368</v>
      </c>
      <c r="B37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78" s="21">
        <f>B378*$B$7</f>
        <v/>
      </c>
    </row>
    <row r="379">
      <c r="A379" s="20" t="n">
        <v>369</v>
      </c>
      <c r="B37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79" s="21">
        <f>B379*$B$7</f>
        <v/>
      </c>
    </row>
    <row r="380">
      <c r="A380" s="20" t="n">
        <v>370</v>
      </c>
      <c r="B38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80" s="21">
        <f>B380*$B$7</f>
        <v/>
      </c>
    </row>
    <row r="381">
      <c r="A381" s="20" t="n">
        <v>371</v>
      </c>
      <c r="B38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81" s="21">
        <f>B381*$B$7</f>
        <v/>
      </c>
    </row>
    <row r="382">
      <c r="A382" s="20" t="n">
        <v>372</v>
      </c>
      <c r="B38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82" s="21">
        <f>B382*$B$7</f>
        <v/>
      </c>
    </row>
    <row r="383">
      <c r="A383" s="20" t="n">
        <v>373</v>
      </c>
      <c r="B38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83" s="21">
        <f>B383*$B$7</f>
        <v/>
      </c>
    </row>
    <row r="384">
      <c r="A384" s="20" t="n">
        <v>374</v>
      </c>
      <c r="B38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84" s="21">
        <f>B384*$B$7</f>
        <v/>
      </c>
    </row>
    <row r="385">
      <c r="A385" s="20" t="n">
        <v>375</v>
      </c>
      <c r="B38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85" s="21">
        <f>B385*$B$7</f>
        <v/>
      </c>
    </row>
    <row r="386">
      <c r="A386" s="20" t="n">
        <v>376</v>
      </c>
      <c r="B38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86" s="21">
        <f>B386*$B$7</f>
        <v/>
      </c>
    </row>
    <row r="387">
      <c r="A387" s="20" t="n">
        <v>377</v>
      </c>
      <c r="B38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87" s="21">
        <f>B387*$B$7</f>
        <v/>
      </c>
    </row>
    <row r="388">
      <c r="A388" s="20" t="n">
        <v>378</v>
      </c>
      <c r="B38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88" s="21">
        <f>B388*$B$7</f>
        <v/>
      </c>
    </row>
    <row r="389">
      <c r="A389" s="20" t="n">
        <v>379</v>
      </c>
      <c r="B38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89" s="21">
        <f>B389*$B$7</f>
        <v/>
      </c>
    </row>
    <row r="390">
      <c r="A390" s="20" t="n">
        <v>380</v>
      </c>
      <c r="B39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90" s="21">
        <f>B390*$B$7</f>
        <v/>
      </c>
    </row>
    <row r="391">
      <c r="A391" s="20" t="n">
        <v>381</v>
      </c>
      <c r="B39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91" s="21">
        <f>B391*$B$7</f>
        <v/>
      </c>
    </row>
    <row r="392">
      <c r="A392" s="20" t="n">
        <v>382</v>
      </c>
      <c r="B39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92" s="21">
        <f>B392*$B$7</f>
        <v/>
      </c>
    </row>
    <row r="393">
      <c r="A393" s="20" t="n">
        <v>383</v>
      </c>
      <c r="B39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93" s="21">
        <f>B393*$B$7</f>
        <v/>
      </c>
    </row>
    <row r="394">
      <c r="A394" s="20" t="n">
        <v>384</v>
      </c>
      <c r="B39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94" s="21">
        <f>B394*$B$7</f>
        <v/>
      </c>
    </row>
    <row r="395">
      <c r="A395" s="20" t="n">
        <v>385</v>
      </c>
      <c r="B39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95" s="21">
        <f>B395*$B$7</f>
        <v/>
      </c>
    </row>
    <row r="396">
      <c r="A396" s="20" t="n">
        <v>386</v>
      </c>
      <c r="B39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96" s="21">
        <f>B396*$B$7</f>
        <v/>
      </c>
    </row>
    <row r="397">
      <c r="A397" s="20" t="n">
        <v>387</v>
      </c>
      <c r="B39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97" s="21">
        <f>B397*$B$7</f>
        <v/>
      </c>
    </row>
    <row r="398">
      <c r="A398" s="20" t="n">
        <v>388</v>
      </c>
      <c r="B39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98" s="21">
        <f>B398*$B$7</f>
        <v/>
      </c>
    </row>
    <row r="399">
      <c r="A399" s="20" t="n">
        <v>389</v>
      </c>
      <c r="B39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399" s="21">
        <f>B399*$B$7</f>
        <v/>
      </c>
    </row>
    <row r="400">
      <c r="A400" s="20" t="n">
        <v>390</v>
      </c>
      <c r="B40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00" s="21">
        <f>B400*$B$7</f>
        <v/>
      </c>
    </row>
    <row r="401">
      <c r="A401" s="20" t="n">
        <v>391</v>
      </c>
      <c r="B40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01" s="21">
        <f>B401*$B$7</f>
        <v/>
      </c>
    </row>
    <row r="402">
      <c r="A402" s="20" t="n">
        <v>392</v>
      </c>
      <c r="B40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02" s="21">
        <f>B402*$B$7</f>
        <v/>
      </c>
    </row>
    <row r="403">
      <c r="A403" s="20" t="n">
        <v>393</v>
      </c>
      <c r="B40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03" s="21">
        <f>B403*$B$7</f>
        <v/>
      </c>
    </row>
    <row r="404">
      <c r="A404" s="20" t="n">
        <v>394</v>
      </c>
      <c r="B40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04" s="21">
        <f>B404*$B$7</f>
        <v/>
      </c>
    </row>
    <row r="405">
      <c r="A405" s="20" t="n">
        <v>395</v>
      </c>
      <c r="B40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05" s="21">
        <f>B405*$B$7</f>
        <v/>
      </c>
    </row>
    <row r="406">
      <c r="A406" s="20" t="n">
        <v>396</v>
      </c>
      <c r="B40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06" s="21">
        <f>B406*$B$7</f>
        <v/>
      </c>
    </row>
    <row r="407">
      <c r="A407" s="20" t="n">
        <v>397</v>
      </c>
      <c r="B40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07" s="21">
        <f>B407*$B$7</f>
        <v/>
      </c>
    </row>
    <row r="408">
      <c r="A408" s="20" t="n">
        <v>398</v>
      </c>
      <c r="B40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08" s="21">
        <f>B408*$B$7</f>
        <v/>
      </c>
    </row>
    <row r="409">
      <c r="A409" s="20" t="n">
        <v>399</v>
      </c>
      <c r="B40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09" s="21">
        <f>B409*$B$7</f>
        <v/>
      </c>
    </row>
    <row r="410">
      <c r="A410" s="20" t="n">
        <v>400</v>
      </c>
      <c r="B41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10" s="21">
        <f>B410*$B$7</f>
        <v/>
      </c>
    </row>
    <row r="411">
      <c r="A411" s="20" t="n">
        <v>401</v>
      </c>
      <c r="B41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11" s="21">
        <f>B411*$B$7</f>
        <v/>
      </c>
    </row>
    <row r="412">
      <c r="A412" s="20" t="n">
        <v>402</v>
      </c>
      <c r="B41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12" s="21">
        <f>B412*$B$7</f>
        <v/>
      </c>
    </row>
    <row r="413">
      <c r="A413" s="20" t="n">
        <v>403</v>
      </c>
      <c r="B41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13" s="21">
        <f>B413*$B$7</f>
        <v/>
      </c>
    </row>
    <row r="414">
      <c r="A414" s="20" t="n">
        <v>404</v>
      </c>
      <c r="B41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14" s="21">
        <f>B414*$B$7</f>
        <v/>
      </c>
    </row>
    <row r="415">
      <c r="A415" s="20" t="n">
        <v>405</v>
      </c>
      <c r="B41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15" s="21">
        <f>B415*$B$7</f>
        <v/>
      </c>
    </row>
    <row r="416">
      <c r="A416" s="20" t="n">
        <v>406</v>
      </c>
      <c r="B41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16" s="21">
        <f>B416*$B$7</f>
        <v/>
      </c>
    </row>
    <row r="417">
      <c r="A417" s="20" t="n">
        <v>407</v>
      </c>
      <c r="B41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17" s="21">
        <f>B417*$B$7</f>
        <v/>
      </c>
    </row>
    <row r="418">
      <c r="A418" s="20" t="n">
        <v>408</v>
      </c>
      <c r="B41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18" s="21">
        <f>B418*$B$7</f>
        <v/>
      </c>
    </row>
    <row r="419">
      <c r="A419" s="20" t="n">
        <v>409</v>
      </c>
      <c r="B41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19" s="21">
        <f>B419*$B$7</f>
        <v/>
      </c>
    </row>
    <row r="420">
      <c r="A420" s="20" t="n">
        <v>410</v>
      </c>
      <c r="B42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20" s="21">
        <f>B420*$B$7</f>
        <v/>
      </c>
    </row>
    <row r="421">
      <c r="A421" s="20" t="n">
        <v>411</v>
      </c>
      <c r="B42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21" s="21">
        <f>B421*$B$7</f>
        <v/>
      </c>
    </row>
    <row r="422">
      <c r="A422" s="20" t="n">
        <v>412</v>
      </c>
      <c r="B42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22" s="21">
        <f>B422*$B$7</f>
        <v/>
      </c>
    </row>
    <row r="423">
      <c r="A423" s="20" t="n">
        <v>413</v>
      </c>
      <c r="B42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23" s="21">
        <f>B423*$B$7</f>
        <v/>
      </c>
    </row>
    <row r="424">
      <c r="A424" s="20" t="n">
        <v>414</v>
      </c>
      <c r="B42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24" s="21">
        <f>B424*$B$7</f>
        <v/>
      </c>
    </row>
    <row r="425">
      <c r="A425" s="20" t="n">
        <v>415</v>
      </c>
      <c r="B42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25" s="21">
        <f>B425*$B$7</f>
        <v/>
      </c>
    </row>
    <row r="426">
      <c r="A426" s="20" t="n">
        <v>416</v>
      </c>
      <c r="B42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26" s="21">
        <f>B426*$B$7</f>
        <v/>
      </c>
    </row>
    <row r="427">
      <c r="A427" s="20" t="n">
        <v>417</v>
      </c>
      <c r="B42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27" s="21">
        <f>B427*$B$7</f>
        <v/>
      </c>
    </row>
    <row r="428">
      <c r="A428" s="20" t="n">
        <v>418</v>
      </c>
      <c r="B42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28" s="21">
        <f>B428*$B$7</f>
        <v/>
      </c>
    </row>
    <row r="429">
      <c r="A429" s="20" t="n">
        <v>419</v>
      </c>
      <c r="B42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29" s="21">
        <f>B429*$B$7</f>
        <v/>
      </c>
    </row>
    <row r="430">
      <c r="A430" s="20" t="n">
        <v>420</v>
      </c>
      <c r="B43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30" s="21">
        <f>B430*$B$7</f>
        <v/>
      </c>
    </row>
    <row r="431">
      <c r="A431" s="20" t="n">
        <v>421</v>
      </c>
      <c r="B43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31" s="21">
        <f>B431*$B$7</f>
        <v/>
      </c>
    </row>
    <row r="432">
      <c r="A432" s="20" t="n">
        <v>422</v>
      </c>
      <c r="B43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32" s="21">
        <f>B432*$B$7</f>
        <v/>
      </c>
    </row>
    <row r="433">
      <c r="A433" s="20" t="n">
        <v>423</v>
      </c>
      <c r="B43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33" s="21">
        <f>B433*$B$7</f>
        <v/>
      </c>
    </row>
    <row r="434">
      <c r="A434" s="20" t="n">
        <v>424</v>
      </c>
      <c r="B43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34" s="21">
        <f>B434*$B$7</f>
        <v/>
      </c>
    </row>
    <row r="435">
      <c r="A435" s="20" t="n">
        <v>425</v>
      </c>
      <c r="B43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35" s="21">
        <f>B435*$B$7</f>
        <v/>
      </c>
    </row>
    <row r="436">
      <c r="A436" s="20" t="n">
        <v>426</v>
      </c>
      <c r="B43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36" s="21">
        <f>B436*$B$7</f>
        <v/>
      </c>
    </row>
    <row r="437">
      <c r="A437" s="20" t="n">
        <v>427</v>
      </c>
      <c r="B43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37" s="21">
        <f>B437*$B$7</f>
        <v/>
      </c>
    </row>
    <row r="438">
      <c r="A438" s="20" t="n">
        <v>428</v>
      </c>
      <c r="B43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38" s="21">
        <f>B438*$B$7</f>
        <v/>
      </c>
    </row>
    <row r="439">
      <c r="A439" s="20" t="n">
        <v>429</v>
      </c>
      <c r="B43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39" s="21">
        <f>B439*$B$7</f>
        <v/>
      </c>
    </row>
    <row r="440">
      <c r="A440" s="20" t="n">
        <v>430</v>
      </c>
      <c r="B44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40" s="21">
        <f>B440*$B$7</f>
        <v/>
      </c>
    </row>
    <row r="441">
      <c r="A441" s="20" t="n">
        <v>431</v>
      </c>
      <c r="B44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41" s="21">
        <f>B441*$B$7</f>
        <v/>
      </c>
    </row>
    <row r="442">
      <c r="A442" s="20" t="n">
        <v>432</v>
      </c>
      <c r="B44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42" s="21">
        <f>B442*$B$7</f>
        <v/>
      </c>
    </row>
    <row r="443">
      <c r="A443" s="20" t="n">
        <v>433</v>
      </c>
      <c r="B44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43" s="21">
        <f>B443*$B$7</f>
        <v/>
      </c>
    </row>
    <row r="444">
      <c r="A444" s="20" t="n">
        <v>434</v>
      </c>
      <c r="B44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44" s="21">
        <f>B444*$B$7</f>
        <v/>
      </c>
    </row>
    <row r="445">
      <c r="A445" s="20" t="n">
        <v>435</v>
      </c>
      <c r="B44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45" s="21">
        <f>B445*$B$7</f>
        <v/>
      </c>
    </row>
    <row r="446">
      <c r="A446" s="20" t="n">
        <v>436</v>
      </c>
      <c r="B44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46" s="21">
        <f>B446*$B$7</f>
        <v/>
      </c>
    </row>
    <row r="447">
      <c r="A447" s="20" t="n">
        <v>437</v>
      </c>
      <c r="B44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47" s="21">
        <f>B447*$B$7</f>
        <v/>
      </c>
    </row>
    <row r="448">
      <c r="A448" s="20" t="n">
        <v>438</v>
      </c>
      <c r="B44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48" s="21">
        <f>B448*$B$7</f>
        <v/>
      </c>
    </row>
    <row r="449">
      <c r="A449" s="20" t="n">
        <v>439</v>
      </c>
      <c r="B44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49" s="21">
        <f>B449*$B$7</f>
        <v/>
      </c>
    </row>
    <row r="450">
      <c r="A450" s="20" t="n">
        <v>440</v>
      </c>
      <c r="B45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50" s="21">
        <f>B450*$B$7</f>
        <v/>
      </c>
    </row>
    <row r="451">
      <c r="A451" s="20" t="n">
        <v>441</v>
      </c>
      <c r="B45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51" s="21">
        <f>B451*$B$7</f>
        <v/>
      </c>
    </row>
    <row r="452">
      <c r="A452" s="20" t="n">
        <v>442</v>
      </c>
      <c r="B45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52" s="21">
        <f>B452*$B$7</f>
        <v/>
      </c>
    </row>
    <row r="453">
      <c r="A453" s="20" t="n">
        <v>443</v>
      </c>
      <c r="B45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53" s="21">
        <f>B453*$B$7</f>
        <v/>
      </c>
    </row>
    <row r="454">
      <c r="A454" s="20" t="n">
        <v>444</v>
      </c>
      <c r="B45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54" s="21">
        <f>B454*$B$7</f>
        <v/>
      </c>
    </row>
    <row r="455">
      <c r="A455" s="20" t="n">
        <v>445</v>
      </c>
      <c r="B45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55" s="21">
        <f>B455*$B$7</f>
        <v/>
      </c>
    </row>
    <row r="456">
      <c r="A456" s="20" t="n">
        <v>446</v>
      </c>
      <c r="B45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56" s="21">
        <f>B456*$B$7</f>
        <v/>
      </c>
    </row>
    <row r="457">
      <c r="A457" s="20" t="n">
        <v>447</v>
      </c>
      <c r="B45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57" s="21">
        <f>B457*$B$7</f>
        <v/>
      </c>
    </row>
    <row r="458">
      <c r="A458" s="20" t="n">
        <v>448</v>
      </c>
      <c r="B45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58" s="21">
        <f>B458*$B$7</f>
        <v/>
      </c>
    </row>
    <row r="459">
      <c r="A459" s="20" t="n">
        <v>449</v>
      </c>
      <c r="B45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59" s="21">
        <f>B459*$B$7</f>
        <v/>
      </c>
    </row>
    <row r="460">
      <c r="A460" s="20" t="n">
        <v>450</v>
      </c>
      <c r="B46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60" s="21">
        <f>B460*$B$7</f>
        <v/>
      </c>
    </row>
    <row r="461">
      <c r="A461" s="20" t="n">
        <v>451</v>
      </c>
      <c r="B46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61" s="21">
        <f>B461*$B$7</f>
        <v/>
      </c>
    </row>
    <row r="462">
      <c r="A462" s="20" t="n">
        <v>452</v>
      </c>
      <c r="B46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62" s="21">
        <f>B462*$B$7</f>
        <v/>
      </c>
    </row>
    <row r="463">
      <c r="A463" s="20" t="n">
        <v>453</v>
      </c>
      <c r="B46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63" s="21">
        <f>B463*$B$7</f>
        <v/>
      </c>
    </row>
    <row r="464">
      <c r="A464" s="20" t="n">
        <v>454</v>
      </c>
      <c r="B46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64" s="21">
        <f>B464*$B$7</f>
        <v/>
      </c>
    </row>
    <row r="465">
      <c r="A465" s="20" t="n">
        <v>455</v>
      </c>
      <c r="B46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65" s="21">
        <f>B465*$B$7</f>
        <v/>
      </c>
    </row>
    <row r="466">
      <c r="A466" s="20" t="n">
        <v>456</v>
      </c>
      <c r="B46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66" s="21">
        <f>B466*$B$7</f>
        <v/>
      </c>
    </row>
    <row r="467">
      <c r="A467" s="20" t="n">
        <v>457</v>
      </c>
      <c r="B46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67" s="21">
        <f>B467*$B$7</f>
        <v/>
      </c>
    </row>
    <row r="468">
      <c r="A468" s="20" t="n">
        <v>458</v>
      </c>
      <c r="B46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68" s="21">
        <f>B468*$B$7</f>
        <v/>
      </c>
    </row>
    <row r="469">
      <c r="A469" s="20" t="n">
        <v>459</v>
      </c>
      <c r="B46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69" s="21">
        <f>B469*$B$7</f>
        <v/>
      </c>
    </row>
    <row r="470">
      <c r="A470" s="20" t="n">
        <v>460</v>
      </c>
      <c r="B47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70" s="21">
        <f>B470*$B$7</f>
        <v/>
      </c>
    </row>
    <row r="471">
      <c r="A471" s="20" t="n">
        <v>461</v>
      </c>
      <c r="B47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71" s="21">
        <f>B471*$B$7</f>
        <v/>
      </c>
    </row>
    <row r="472">
      <c r="A472" s="20" t="n">
        <v>462</v>
      </c>
      <c r="B47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72" s="21">
        <f>B472*$B$7</f>
        <v/>
      </c>
    </row>
    <row r="473">
      <c r="A473" s="20" t="n">
        <v>463</v>
      </c>
      <c r="B47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73" s="21">
        <f>B473*$B$7</f>
        <v/>
      </c>
    </row>
    <row r="474">
      <c r="A474" s="20" t="n">
        <v>464</v>
      </c>
      <c r="B47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74" s="21">
        <f>B474*$B$7</f>
        <v/>
      </c>
    </row>
    <row r="475">
      <c r="A475" s="20" t="n">
        <v>465</v>
      </c>
      <c r="B47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75" s="21">
        <f>B475*$B$7</f>
        <v/>
      </c>
    </row>
    <row r="476">
      <c r="A476" s="20" t="n">
        <v>466</v>
      </c>
      <c r="B47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76" s="21">
        <f>B476*$B$7</f>
        <v/>
      </c>
    </row>
    <row r="477">
      <c r="A477" s="20" t="n">
        <v>467</v>
      </c>
      <c r="B47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77" s="21">
        <f>B477*$B$7</f>
        <v/>
      </c>
    </row>
    <row r="478">
      <c r="A478" s="20" t="n">
        <v>468</v>
      </c>
      <c r="B47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78" s="21">
        <f>B478*$B$7</f>
        <v/>
      </c>
    </row>
    <row r="479">
      <c r="A479" s="20" t="n">
        <v>469</v>
      </c>
      <c r="B47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79" s="21">
        <f>B479*$B$7</f>
        <v/>
      </c>
    </row>
    <row r="480">
      <c r="A480" s="20" t="n">
        <v>470</v>
      </c>
      <c r="B48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80" s="21">
        <f>B480*$B$7</f>
        <v/>
      </c>
    </row>
    <row r="481">
      <c r="A481" s="20" t="n">
        <v>471</v>
      </c>
      <c r="B48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81" s="21">
        <f>B481*$B$7</f>
        <v/>
      </c>
    </row>
    <row r="482">
      <c r="A482" s="20" t="n">
        <v>472</v>
      </c>
      <c r="B48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82" s="21">
        <f>B482*$B$7</f>
        <v/>
      </c>
    </row>
    <row r="483">
      <c r="A483" s="20" t="n">
        <v>473</v>
      </c>
      <c r="B48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83" s="21">
        <f>B483*$B$7</f>
        <v/>
      </c>
    </row>
    <row r="484">
      <c r="A484" s="20" t="n">
        <v>474</v>
      </c>
      <c r="B48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84" s="21">
        <f>B484*$B$7</f>
        <v/>
      </c>
    </row>
    <row r="485">
      <c r="A485" s="20" t="n">
        <v>475</v>
      </c>
      <c r="B48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85" s="21">
        <f>B485*$B$7</f>
        <v/>
      </c>
    </row>
    <row r="486">
      <c r="A486" s="20" t="n">
        <v>476</v>
      </c>
      <c r="B48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86" s="21">
        <f>B486*$B$7</f>
        <v/>
      </c>
    </row>
    <row r="487">
      <c r="A487" s="20" t="n">
        <v>477</v>
      </c>
      <c r="B48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87" s="21">
        <f>B487*$B$7</f>
        <v/>
      </c>
    </row>
    <row r="488">
      <c r="A488" s="20" t="n">
        <v>478</v>
      </c>
      <c r="B48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88" s="21">
        <f>B488*$B$7</f>
        <v/>
      </c>
    </row>
    <row r="489">
      <c r="A489" s="20" t="n">
        <v>479</v>
      </c>
      <c r="B48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89" s="21">
        <f>B489*$B$7</f>
        <v/>
      </c>
    </row>
    <row r="490">
      <c r="A490" s="20" t="n">
        <v>480</v>
      </c>
      <c r="B49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90" s="21">
        <f>B490*$B$7</f>
        <v/>
      </c>
    </row>
    <row r="491">
      <c r="A491" s="20" t="n">
        <v>481</v>
      </c>
      <c r="B49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91" s="21">
        <f>B491*$B$7</f>
        <v/>
      </c>
    </row>
    <row r="492">
      <c r="A492" s="20" t="n">
        <v>482</v>
      </c>
      <c r="B49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92" s="21">
        <f>B492*$B$7</f>
        <v/>
      </c>
    </row>
    <row r="493">
      <c r="A493" s="20" t="n">
        <v>483</v>
      </c>
      <c r="B49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93" s="21">
        <f>B493*$B$7</f>
        <v/>
      </c>
    </row>
    <row r="494">
      <c r="A494" s="20" t="n">
        <v>484</v>
      </c>
      <c r="B49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94" s="21">
        <f>B494*$B$7</f>
        <v/>
      </c>
    </row>
    <row r="495">
      <c r="A495" s="20" t="n">
        <v>485</v>
      </c>
      <c r="B49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95" s="21">
        <f>B495*$B$7</f>
        <v/>
      </c>
    </row>
    <row r="496">
      <c r="A496" s="20" t="n">
        <v>486</v>
      </c>
      <c r="B49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96" s="21">
        <f>B496*$B$7</f>
        <v/>
      </c>
    </row>
    <row r="497">
      <c r="A497" s="20" t="n">
        <v>487</v>
      </c>
      <c r="B49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97" s="21">
        <f>B497*$B$7</f>
        <v/>
      </c>
    </row>
    <row r="498">
      <c r="A498" s="20" t="n">
        <v>488</v>
      </c>
      <c r="B49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98" s="21">
        <f>B498*$B$7</f>
        <v/>
      </c>
    </row>
    <row r="499">
      <c r="A499" s="20" t="n">
        <v>489</v>
      </c>
      <c r="B49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499" s="21">
        <f>B499*$B$7</f>
        <v/>
      </c>
    </row>
    <row r="500">
      <c r="A500" s="20" t="n">
        <v>490</v>
      </c>
      <c r="B50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00" s="21">
        <f>B500*$B$7</f>
        <v/>
      </c>
    </row>
    <row r="501">
      <c r="A501" s="20" t="n">
        <v>491</v>
      </c>
      <c r="B50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01" s="21">
        <f>B501*$B$7</f>
        <v/>
      </c>
    </row>
    <row r="502">
      <c r="A502" s="20" t="n">
        <v>492</v>
      </c>
      <c r="B50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02" s="21">
        <f>B502*$B$7</f>
        <v/>
      </c>
    </row>
    <row r="503">
      <c r="A503" s="20" t="n">
        <v>493</v>
      </c>
      <c r="B50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03" s="21">
        <f>B503*$B$7</f>
        <v/>
      </c>
    </row>
    <row r="504">
      <c r="A504" s="20" t="n">
        <v>494</v>
      </c>
      <c r="B50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04" s="21">
        <f>B504*$B$7</f>
        <v/>
      </c>
    </row>
    <row r="505">
      <c r="A505" s="20" t="n">
        <v>495</v>
      </c>
      <c r="B50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05" s="21">
        <f>B505*$B$7</f>
        <v/>
      </c>
    </row>
    <row r="506">
      <c r="A506" s="20" t="n">
        <v>496</v>
      </c>
      <c r="B50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06" s="21">
        <f>B506*$B$7</f>
        <v/>
      </c>
    </row>
    <row r="507">
      <c r="A507" s="20" t="n">
        <v>497</v>
      </c>
      <c r="B50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07" s="21">
        <f>B507*$B$7</f>
        <v/>
      </c>
    </row>
    <row r="508">
      <c r="A508" s="20" t="n">
        <v>498</v>
      </c>
      <c r="B50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08" s="21">
        <f>B508*$B$7</f>
        <v/>
      </c>
    </row>
    <row r="509">
      <c r="A509" s="20" t="n">
        <v>499</v>
      </c>
      <c r="B50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09" s="21">
        <f>B509*$B$7</f>
        <v/>
      </c>
    </row>
    <row r="510">
      <c r="A510" s="20" t="n">
        <v>500</v>
      </c>
      <c r="B51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10" s="21">
        <f>B510*$B$7</f>
        <v/>
      </c>
    </row>
    <row r="511">
      <c r="A511" s="20" t="n">
        <v>501</v>
      </c>
      <c r="B51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11" s="21">
        <f>B511*$B$7</f>
        <v/>
      </c>
    </row>
    <row r="512">
      <c r="A512" s="20" t="n">
        <v>502</v>
      </c>
      <c r="B51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12" s="21">
        <f>B512*$B$7</f>
        <v/>
      </c>
    </row>
    <row r="513">
      <c r="A513" s="20" t="n">
        <v>503</v>
      </c>
      <c r="B51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13" s="21">
        <f>B513*$B$7</f>
        <v/>
      </c>
    </row>
    <row r="514">
      <c r="A514" s="20" t="n">
        <v>504</v>
      </c>
      <c r="B51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14" s="21">
        <f>B514*$B$7</f>
        <v/>
      </c>
    </row>
    <row r="515">
      <c r="A515" s="20" t="n">
        <v>505</v>
      </c>
      <c r="B51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15" s="21">
        <f>B515*$B$7</f>
        <v/>
      </c>
    </row>
    <row r="516">
      <c r="A516" s="20" t="n">
        <v>506</v>
      </c>
      <c r="B51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16" s="21">
        <f>B516*$B$7</f>
        <v/>
      </c>
    </row>
    <row r="517">
      <c r="A517" s="20" t="n">
        <v>507</v>
      </c>
      <c r="B51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17" s="21">
        <f>B517*$B$7</f>
        <v/>
      </c>
    </row>
    <row r="518">
      <c r="A518" s="20" t="n">
        <v>508</v>
      </c>
      <c r="B51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18" s="21">
        <f>B518*$B$7</f>
        <v/>
      </c>
    </row>
    <row r="519">
      <c r="A519" s="20" t="n">
        <v>509</v>
      </c>
      <c r="B51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19" s="21">
        <f>B519*$B$7</f>
        <v/>
      </c>
    </row>
    <row r="520">
      <c r="A520" s="20" t="n">
        <v>510</v>
      </c>
      <c r="B52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20" s="21">
        <f>B520*$B$7</f>
        <v/>
      </c>
    </row>
    <row r="521">
      <c r="A521" s="20" t="n">
        <v>511</v>
      </c>
      <c r="B52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21" s="21">
        <f>B521*$B$7</f>
        <v/>
      </c>
    </row>
    <row r="522">
      <c r="A522" s="20" t="n">
        <v>512</v>
      </c>
      <c r="B52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22" s="21">
        <f>B522*$B$7</f>
        <v/>
      </c>
    </row>
    <row r="523">
      <c r="A523" s="20" t="n">
        <v>513</v>
      </c>
      <c r="B52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23" s="21">
        <f>B523*$B$7</f>
        <v/>
      </c>
    </row>
    <row r="524">
      <c r="A524" s="20" t="n">
        <v>514</v>
      </c>
      <c r="B52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24" s="21">
        <f>B524*$B$7</f>
        <v/>
      </c>
    </row>
    <row r="525">
      <c r="A525" s="20" t="n">
        <v>515</v>
      </c>
      <c r="B52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25" s="21">
        <f>B525*$B$7</f>
        <v/>
      </c>
    </row>
    <row r="526">
      <c r="A526" s="20" t="n">
        <v>516</v>
      </c>
      <c r="B52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26" s="21">
        <f>B526*$B$7</f>
        <v/>
      </c>
    </row>
    <row r="527">
      <c r="A527" s="20" t="n">
        <v>517</v>
      </c>
      <c r="B52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27" s="21">
        <f>B527*$B$7</f>
        <v/>
      </c>
    </row>
    <row r="528">
      <c r="A528" s="20" t="n">
        <v>518</v>
      </c>
      <c r="B52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28" s="21">
        <f>B528*$B$7</f>
        <v/>
      </c>
    </row>
    <row r="529">
      <c r="A529" s="20" t="n">
        <v>519</v>
      </c>
      <c r="B52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29" s="21">
        <f>B529*$B$7</f>
        <v/>
      </c>
    </row>
    <row r="530">
      <c r="A530" s="20" t="n">
        <v>520</v>
      </c>
      <c r="B53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30" s="21">
        <f>B530*$B$7</f>
        <v/>
      </c>
    </row>
    <row r="531">
      <c r="A531" s="20" t="n">
        <v>521</v>
      </c>
      <c r="B53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31" s="21">
        <f>B531*$B$7</f>
        <v/>
      </c>
    </row>
    <row r="532">
      <c r="A532" s="20" t="n">
        <v>522</v>
      </c>
      <c r="B53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32" s="21">
        <f>B532*$B$7</f>
        <v/>
      </c>
    </row>
    <row r="533">
      <c r="A533" s="20" t="n">
        <v>523</v>
      </c>
      <c r="B53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33" s="21">
        <f>B533*$B$7</f>
        <v/>
      </c>
    </row>
    <row r="534">
      <c r="A534" s="20" t="n">
        <v>524</v>
      </c>
      <c r="B53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34" s="21">
        <f>B534*$B$7</f>
        <v/>
      </c>
    </row>
    <row r="535">
      <c r="A535" s="20" t="n">
        <v>525</v>
      </c>
      <c r="B53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35" s="21">
        <f>B535*$B$7</f>
        <v/>
      </c>
    </row>
    <row r="536">
      <c r="A536" s="20" t="n">
        <v>526</v>
      </c>
      <c r="B53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36" s="21">
        <f>B536*$B$7</f>
        <v/>
      </c>
    </row>
    <row r="537">
      <c r="A537" s="20" t="n">
        <v>527</v>
      </c>
      <c r="B53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37" s="21">
        <f>B537*$B$7</f>
        <v/>
      </c>
    </row>
    <row r="538">
      <c r="A538" s="20" t="n">
        <v>528</v>
      </c>
      <c r="B53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38" s="21">
        <f>B538*$B$7</f>
        <v/>
      </c>
    </row>
    <row r="539">
      <c r="A539" s="20" t="n">
        <v>529</v>
      </c>
      <c r="B53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39" s="21">
        <f>B539*$B$7</f>
        <v/>
      </c>
    </row>
    <row r="540">
      <c r="A540" s="20" t="n">
        <v>530</v>
      </c>
      <c r="B54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40" s="21">
        <f>B540*$B$7</f>
        <v/>
      </c>
    </row>
    <row r="541">
      <c r="A541" s="20" t="n">
        <v>531</v>
      </c>
      <c r="B54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41" s="21">
        <f>B541*$B$7</f>
        <v/>
      </c>
    </row>
    <row r="542">
      <c r="A542" s="20" t="n">
        <v>532</v>
      </c>
      <c r="B54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42" s="21">
        <f>B542*$B$7</f>
        <v/>
      </c>
    </row>
    <row r="543">
      <c r="A543" s="20" t="n">
        <v>533</v>
      </c>
      <c r="B54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43" s="21">
        <f>B543*$B$7</f>
        <v/>
      </c>
    </row>
    <row r="544">
      <c r="A544" s="20" t="n">
        <v>534</v>
      </c>
      <c r="B54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44" s="21">
        <f>B544*$B$7</f>
        <v/>
      </c>
    </row>
    <row r="545">
      <c r="A545" s="20" t="n">
        <v>535</v>
      </c>
      <c r="B54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45" s="21">
        <f>B545*$B$7</f>
        <v/>
      </c>
    </row>
    <row r="546">
      <c r="A546" s="20" t="n">
        <v>536</v>
      </c>
      <c r="B54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46" s="21">
        <f>B546*$B$7</f>
        <v/>
      </c>
    </row>
    <row r="547">
      <c r="A547" s="20" t="n">
        <v>537</v>
      </c>
      <c r="B54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47" s="21">
        <f>B547*$B$7</f>
        <v/>
      </c>
    </row>
    <row r="548">
      <c r="A548" s="20" t="n">
        <v>538</v>
      </c>
      <c r="B54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48" s="21">
        <f>B548*$B$7</f>
        <v/>
      </c>
    </row>
    <row r="549">
      <c r="A549" s="20" t="n">
        <v>539</v>
      </c>
      <c r="B54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49" s="21">
        <f>B549*$B$7</f>
        <v/>
      </c>
    </row>
    <row r="550">
      <c r="A550" s="20" t="n">
        <v>540</v>
      </c>
      <c r="B55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50" s="21">
        <f>B550*$B$7</f>
        <v/>
      </c>
    </row>
    <row r="551">
      <c r="A551" s="20" t="n">
        <v>541</v>
      </c>
      <c r="B55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51" s="21">
        <f>B551*$B$7</f>
        <v/>
      </c>
    </row>
    <row r="552">
      <c r="A552" s="20" t="n">
        <v>542</v>
      </c>
      <c r="B55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52" s="21">
        <f>B552*$B$7</f>
        <v/>
      </c>
    </row>
    <row r="553">
      <c r="A553" s="20" t="n">
        <v>543</v>
      </c>
      <c r="B55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53" s="21">
        <f>B553*$B$7</f>
        <v/>
      </c>
    </row>
    <row r="554">
      <c r="A554" s="20" t="n">
        <v>544</v>
      </c>
      <c r="B55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54" s="21">
        <f>B554*$B$7</f>
        <v/>
      </c>
    </row>
    <row r="555">
      <c r="A555" s="20" t="n">
        <v>545</v>
      </c>
      <c r="B55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55" s="21">
        <f>B555*$B$7</f>
        <v/>
      </c>
    </row>
    <row r="556">
      <c r="A556" s="20" t="n">
        <v>546</v>
      </c>
      <c r="B55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56" s="21">
        <f>B556*$B$7</f>
        <v/>
      </c>
    </row>
    <row r="557">
      <c r="A557" s="20" t="n">
        <v>547</v>
      </c>
      <c r="B55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57" s="21">
        <f>B557*$B$7</f>
        <v/>
      </c>
    </row>
    <row r="558">
      <c r="A558" s="20" t="n">
        <v>548</v>
      </c>
      <c r="B55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58" s="21">
        <f>B558*$B$7</f>
        <v/>
      </c>
    </row>
    <row r="559">
      <c r="A559" s="20" t="n">
        <v>549</v>
      </c>
      <c r="B55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59" s="21">
        <f>B559*$B$7</f>
        <v/>
      </c>
    </row>
    <row r="560">
      <c r="A560" s="20" t="n">
        <v>550</v>
      </c>
      <c r="B56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60" s="21">
        <f>B560*$B$7</f>
        <v/>
      </c>
    </row>
    <row r="561">
      <c r="A561" s="20" t="n">
        <v>551</v>
      </c>
      <c r="B56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61" s="21">
        <f>B561*$B$7</f>
        <v/>
      </c>
    </row>
    <row r="562">
      <c r="A562" s="20" t="n">
        <v>552</v>
      </c>
      <c r="B56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62" s="21">
        <f>B562*$B$7</f>
        <v/>
      </c>
    </row>
    <row r="563">
      <c r="A563" s="20" t="n">
        <v>553</v>
      </c>
      <c r="B56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63" s="21">
        <f>B563*$B$7</f>
        <v/>
      </c>
    </row>
    <row r="564">
      <c r="A564" s="20" t="n">
        <v>554</v>
      </c>
      <c r="B56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64" s="21">
        <f>B564*$B$7</f>
        <v/>
      </c>
    </row>
    <row r="565">
      <c r="A565" s="20" t="n">
        <v>555</v>
      </c>
      <c r="B56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65" s="21">
        <f>B565*$B$7</f>
        <v/>
      </c>
    </row>
    <row r="566">
      <c r="A566" s="20" t="n">
        <v>556</v>
      </c>
      <c r="B56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66" s="21">
        <f>B566*$B$7</f>
        <v/>
      </c>
    </row>
    <row r="567">
      <c r="A567" s="20" t="n">
        <v>557</v>
      </c>
      <c r="B56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67" s="21">
        <f>B567*$B$7</f>
        <v/>
      </c>
    </row>
    <row r="568">
      <c r="A568" s="20" t="n">
        <v>558</v>
      </c>
      <c r="B56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68" s="21">
        <f>B568*$B$7</f>
        <v/>
      </c>
    </row>
    <row r="569">
      <c r="A569" s="20" t="n">
        <v>559</v>
      </c>
      <c r="B56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69" s="21">
        <f>B569*$B$7</f>
        <v/>
      </c>
    </row>
    <row r="570">
      <c r="A570" s="20" t="n">
        <v>560</v>
      </c>
      <c r="B57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70" s="21">
        <f>B570*$B$7</f>
        <v/>
      </c>
    </row>
    <row r="571">
      <c r="A571" s="20" t="n">
        <v>561</v>
      </c>
      <c r="B57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71" s="21">
        <f>B571*$B$7</f>
        <v/>
      </c>
    </row>
    <row r="572">
      <c r="A572" s="20" t="n">
        <v>562</v>
      </c>
      <c r="B57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72" s="21">
        <f>B572*$B$7</f>
        <v/>
      </c>
    </row>
    <row r="573">
      <c r="A573" s="20" t="n">
        <v>563</v>
      </c>
      <c r="B57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73" s="21">
        <f>B573*$B$7</f>
        <v/>
      </c>
    </row>
    <row r="574">
      <c r="A574" s="20" t="n">
        <v>564</v>
      </c>
      <c r="B57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74" s="21">
        <f>B574*$B$7</f>
        <v/>
      </c>
    </row>
    <row r="575">
      <c r="A575" s="20" t="n">
        <v>565</v>
      </c>
      <c r="B57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75" s="21">
        <f>B575*$B$7</f>
        <v/>
      </c>
    </row>
    <row r="576">
      <c r="A576" s="20" t="n">
        <v>566</v>
      </c>
      <c r="B57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76" s="21">
        <f>B576*$B$7</f>
        <v/>
      </c>
    </row>
    <row r="577">
      <c r="A577" s="20" t="n">
        <v>567</v>
      </c>
      <c r="B57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77" s="21">
        <f>B577*$B$7</f>
        <v/>
      </c>
    </row>
    <row r="578">
      <c r="A578" s="20" t="n">
        <v>568</v>
      </c>
      <c r="B57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78" s="21">
        <f>B578*$B$7</f>
        <v/>
      </c>
    </row>
    <row r="579">
      <c r="A579" s="20" t="n">
        <v>569</v>
      </c>
      <c r="B57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79" s="21">
        <f>B579*$B$7</f>
        <v/>
      </c>
    </row>
    <row r="580">
      <c r="A580" s="20" t="n">
        <v>570</v>
      </c>
      <c r="B58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80" s="21">
        <f>B580*$B$7</f>
        <v/>
      </c>
    </row>
    <row r="581">
      <c r="A581" s="20" t="n">
        <v>571</v>
      </c>
      <c r="B58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81" s="21">
        <f>B581*$B$7</f>
        <v/>
      </c>
    </row>
    <row r="582">
      <c r="A582" s="20" t="n">
        <v>572</v>
      </c>
      <c r="B58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82" s="21">
        <f>B582*$B$7</f>
        <v/>
      </c>
    </row>
    <row r="583">
      <c r="A583" s="20" t="n">
        <v>573</v>
      </c>
      <c r="B58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83" s="21">
        <f>B583*$B$7</f>
        <v/>
      </c>
    </row>
    <row r="584">
      <c r="A584" s="20" t="n">
        <v>574</v>
      </c>
      <c r="B58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84" s="21">
        <f>B584*$B$7</f>
        <v/>
      </c>
    </row>
    <row r="585">
      <c r="A585" s="20" t="n">
        <v>575</v>
      </c>
      <c r="B58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85" s="21">
        <f>B585*$B$7</f>
        <v/>
      </c>
    </row>
    <row r="586">
      <c r="A586" s="20" t="n">
        <v>576</v>
      </c>
      <c r="B58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86" s="21">
        <f>B586*$B$7</f>
        <v/>
      </c>
    </row>
    <row r="587">
      <c r="A587" s="20" t="n">
        <v>577</v>
      </c>
      <c r="B58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87" s="21">
        <f>B587*$B$7</f>
        <v/>
      </c>
    </row>
    <row r="588">
      <c r="A588" s="20" t="n">
        <v>578</v>
      </c>
      <c r="B58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88" s="21">
        <f>B588*$B$7</f>
        <v/>
      </c>
    </row>
    <row r="589">
      <c r="A589" s="20" t="n">
        <v>579</v>
      </c>
      <c r="B58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89" s="21">
        <f>B589*$B$7</f>
        <v/>
      </c>
    </row>
    <row r="590">
      <c r="A590" s="20" t="n">
        <v>580</v>
      </c>
      <c r="B59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90" s="21">
        <f>B590*$B$7</f>
        <v/>
      </c>
    </row>
    <row r="591">
      <c r="A591" s="20" t="n">
        <v>581</v>
      </c>
      <c r="B59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91" s="21">
        <f>B591*$B$7</f>
        <v/>
      </c>
    </row>
    <row r="592">
      <c r="A592" s="20" t="n">
        <v>582</v>
      </c>
      <c r="B59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92" s="21">
        <f>B592*$B$7</f>
        <v/>
      </c>
    </row>
    <row r="593">
      <c r="A593" s="20" t="n">
        <v>583</v>
      </c>
      <c r="B59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93" s="21">
        <f>B593*$B$7</f>
        <v/>
      </c>
    </row>
    <row r="594">
      <c r="A594" s="20" t="n">
        <v>584</v>
      </c>
      <c r="B59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94" s="21">
        <f>B594*$B$7</f>
        <v/>
      </c>
    </row>
    <row r="595">
      <c r="A595" s="20" t="n">
        <v>585</v>
      </c>
      <c r="B59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95" s="21">
        <f>B595*$B$7</f>
        <v/>
      </c>
    </row>
    <row r="596">
      <c r="A596" s="20" t="n">
        <v>586</v>
      </c>
      <c r="B59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96" s="21">
        <f>B596*$B$7</f>
        <v/>
      </c>
    </row>
    <row r="597">
      <c r="A597" s="20" t="n">
        <v>587</v>
      </c>
      <c r="B59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97" s="21">
        <f>B597*$B$7</f>
        <v/>
      </c>
    </row>
    <row r="598">
      <c r="A598" s="20" t="n">
        <v>588</v>
      </c>
      <c r="B59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98" s="21">
        <f>B598*$B$7</f>
        <v/>
      </c>
    </row>
    <row r="599">
      <c r="A599" s="20" t="n">
        <v>589</v>
      </c>
      <c r="B59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599" s="21">
        <f>B599*$B$7</f>
        <v/>
      </c>
    </row>
    <row r="600">
      <c r="A600" s="20" t="n">
        <v>590</v>
      </c>
      <c r="B60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00" s="21">
        <f>B600*$B$7</f>
        <v/>
      </c>
    </row>
    <row r="601">
      <c r="A601" s="20" t="n">
        <v>591</v>
      </c>
      <c r="B60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01" s="21">
        <f>B601*$B$7</f>
        <v/>
      </c>
    </row>
    <row r="602">
      <c r="A602" s="20" t="n">
        <v>592</v>
      </c>
      <c r="B60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02" s="21">
        <f>B602*$B$7</f>
        <v/>
      </c>
    </row>
    <row r="603">
      <c r="A603" s="20" t="n">
        <v>593</v>
      </c>
      <c r="B60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03" s="21">
        <f>B603*$B$7</f>
        <v/>
      </c>
    </row>
    <row r="604">
      <c r="A604" s="20" t="n">
        <v>594</v>
      </c>
      <c r="B60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04" s="21">
        <f>B604*$B$7</f>
        <v/>
      </c>
    </row>
    <row r="605">
      <c r="A605" s="20" t="n">
        <v>595</v>
      </c>
      <c r="B60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05" s="21">
        <f>B605*$B$7</f>
        <v/>
      </c>
    </row>
    <row r="606">
      <c r="A606" s="20" t="n">
        <v>596</v>
      </c>
      <c r="B60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06" s="21">
        <f>B606*$B$7</f>
        <v/>
      </c>
    </row>
    <row r="607">
      <c r="A607" s="20" t="n">
        <v>597</v>
      </c>
      <c r="B60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07" s="21">
        <f>B607*$B$7</f>
        <v/>
      </c>
    </row>
    <row r="608">
      <c r="A608" s="20" t="n">
        <v>598</v>
      </c>
      <c r="B60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08" s="21">
        <f>B608*$B$7</f>
        <v/>
      </c>
    </row>
    <row r="609">
      <c r="A609" s="20" t="n">
        <v>599</v>
      </c>
      <c r="B60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09" s="21">
        <f>B609*$B$7</f>
        <v/>
      </c>
    </row>
    <row r="610">
      <c r="A610" s="20" t="n">
        <v>600</v>
      </c>
      <c r="B61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10" s="21">
        <f>B610*$B$7</f>
        <v/>
      </c>
    </row>
    <row r="611">
      <c r="A611" s="20" t="n">
        <v>601</v>
      </c>
      <c r="B61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11" s="21">
        <f>B611*$B$7</f>
        <v/>
      </c>
    </row>
    <row r="612">
      <c r="A612" s="20" t="n">
        <v>602</v>
      </c>
      <c r="B61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12" s="21">
        <f>B612*$B$7</f>
        <v/>
      </c>
    </row>
    <row r="613">
      <c r="A613" s="20" t="n">
        <v>603</v>
      </c>
      <c r="B61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13" s="21">
        <f>B613*$B$7</f>
        <v/>
      </c>
    </row>
    <row r="614">
      <c r="A614" s="20" t="n">
        <v>604</v>
      </c>
      <c r="B61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14" s="21">
        <f>B614*$B$7</f>
        <v/>
      </c>
    </row>
    <row r="615">
      <c r="A615" s="20" t="n">
        <v>605</v>
      </c>
      <c r="B61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15" s="21">
        <f>B615*$B$7</f>
        <v/>
      </c>
    </row>
    <row r="616">
      <c r="A616" s="20" t="n">
        <v>606</v>
      </c>
      <c r="B61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16" s="21">
        <f>B616*$B$7</f>
        <v/>
      </c>
    </row>
    <row r="617">
      <c r="A617" s="20" t="n">
        <v>607</v>
      </c>
      <c r="B61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17" s="21">
        <f>B617*$B$7</f>
        <v/>
      </c>
    </row>
    <row r="618">
      <c r="A618" s="20" t="n">
        <v>608</v>
      </c>
      <c r="B61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18" s="21">
        <f>B618*$B$7</f>
        <v/>
      </c>
    </row>
    <row r="619">
      <c r="A619" s="20" t="n">
        <v>609</v>
      </c>
      <c r="B61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19" s="21">
        <f>B619*$B$7</f>
        <v/>
      </c>
    </row>
    <row r="620">
      <c r="A620" s="20" t="n">
        <v>610</v>
      </c>
      <c r="B62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20" s="21">
        <f>B620*$B$7</f>
        <v/>
      </c>
    </row>
    <row r="621">
      <c r="A621" s="20" t="n">
        <v>611</v>
      </c>
      <c r="B62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21" s="21">
        <f>B621*$B$7</f>
        <v/>
      </c>
    </row>
    <row r="622">
      <c r="A622" s="20" t="n">
        <v>612</v>
      </c>
      <c r="B62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22" s="21">
        <f>B622*$B$7</f>
        <v/>
      </c>
    </row>
    <row r="623">
      <c r="A623" s="20" t="n">
        <v>613</v>
      </c>
      <c r="B62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23" s="21">
        <f>B623*$B$7</f>
        <v/>
      </c>
    </row>
    <row r="624">
      <c r="A624" s="20" t="n">
        <v>614</v>
      </c>
      <c r="B62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24" s="21">
        <f>B624*$B$7</f>
        <v/>
      </c>
    </row>
    <row r="625">
      <c r="A625" s="20" t="n">
        <v>615</v>
      </c>
      <c r="B62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25" s="21">
        <f>B625*$B$7</f>
        <v/>
      </c>
    </row>
    <row r="626">
      <c r="A626" s="20" t="n">
        <v>616</v>
      </c>
      <c r="B62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26" s="21">
        <f>B626*$B$7</f>
        <v/>
      </c>
    </row>
    <row r="627">
      <c r="A627" s="20" t="n">
        <v>617</v>
      </c>
      <c r="B62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27" s="21">
        <f>B627*$B$7</f>
        <v/>
      </c>
    </row>
    <row r="628">
      <c r="A628" s="20" t="n">
        <v>618</v>
      </c>
      <c r="B62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28" s="21">
        <f>B628*$B$7</f>
        <v/>
      </c>
    </row>
    <row r="629">
      <c r="A629" s="20" t="n">
        <v>619</v>
      </c>
      <c r="B62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29" s="21">
        <f>B629*$B$7</f>
        <v/>
      </c>
    </row>
    <row r="630">
      <c r="A630" s="20" t="n">
        <v>620</v>
      </c>
      <c r="B63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30" s="21">
        <f>B630*$B$7</f>
        <v/>
      </c>
    </row>
    <row r="631">
      <c r="A631" s="20" t="n">
        <v>621</v>
      </c>
      <c r="B63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31" s="21">
        <f>B631*$B$7</f>
        <v/>
      </c>
    </row>
    <row r="632">
      <c r="A632" s="20" t="n">
        <v>622</v>
      </c>
      <c r="B63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32" s="21">
        <f>B632*$B$7</f>
        <v/>
      </c>
    </row>
    <row r="633">
      <c r="A633" s="20" t="n">
        <v>623</v>
      </c>
      <c r="B63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33" s="21">
        <f>B633*$B$7</f>
        <v/>
      </c>
    </row>
    <row r="634">
      <c r="A634" s="20" t="n">
        <v>624</v>
      </c>
      <c r="B63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34" s="21">
        <f>B634*$B$7</f>
        <v/>
      </c>
    </row>
    <row r="635">
      <c r="A635" s="20" t="n">
        <v>625</v>
      </c>
      <c r="B63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35" s="21">
        <f>B635*$B$7</f>
        <v/>
      </c>
    </row>
    <row r="636">
      <c r="A636" s="20" t="n">
        <v>626</v>
      </c>
      <c r="B63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36" s="21">
        <f>B636*$B$7</f>
        <v/>
      </c>
    </row>
    <row r="637">
      <c r="A637" s="20" t="n">
        <v>627</v>
      </c>
      <c r="B63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37" s="21">
        <f>B637*$B$7</f>
        <v/>
      </c>
    </row>
    <row r="638">
      <c r="A638" s="20" t="n">
        <v>628</v>
      </c>
      <c r="B63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38" s="21">
        <f>B638*$B$7</f>
        <v/>
      </c>
    </row>
    <row r="639">
      <c r="A639" s="20" t="n">
        <v>629</v>
      </c>
      <c r="B63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39" s="21">
        <f>B639*$B$7</f>
        <v/>
      </c>
    </row>
    <row r="640">
      <c r="A640" s="20" t="n">
        <v>630</v>
      </c>
      <c r="B64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40" s="21">
        <f>B640*$B$7</f>
        <v/>
      </c>
    </row>
    <row r="641">
      <c r="A641" s="20" t="n">
        <v>631</v>
      </c>
      <c r="B64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41" s="21">
        <f>B641*$B$7</f>
        <v/>
      </c>
    </row>
    <row r="642">
      <c r="A642" s="20" t="n">
        <v>632</v>
      </c>
      <c r="B64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42" s="21">
        <f>B642*$B$7</f>
        <v/>
      </c>
    </row>
    <row r="643">
      <c r="A643" s="20" t="n">
        <v>633</v>
      </c>
      <c r="B64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43" s="21">
        <f>B643*$B$7</f>
        <v/>
      </c>
    </row>
    <row r="644">
      <c r="A644" s="20" t="n">
        <v>634</v>
      </c>
      <c r="B64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44" s="21">
        <f>B644*$B$7</f>
        <v/>
      </c>
    </row>
    <row r="645">
      <c r="A645" s="20" t="n">
        <v>635</v>
      </c>
      <c r="B64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45" s="21">
        <f>B645*$B$7</f>
        <v/>
      </c>
    </row>
    <row r="646">
      <c r="A646" s="20" t="n">
        <v>636</v>
      </c>
      <c r="B64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46" s="21">
        <f>B646*$B$7</f>
        <v/>
      </c>
    </row>
    <row r="647">
      <c r="A647" s="20" t="n">
        <v>637</v>
      </c>
      <c r="B64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47" s="21">
        <f>B647*$B$7</f>
        <v/>
      </c>
    </row>
    <row r="648">
      <c r="A648" s="20" t="n">
        <v>638</v>
      </c>
      <c r="B64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48" s="21">
        <f>B648*$B$7</f>
        <v/>
      </c>
    </row>
    <row r="649">
      <c r="A649" s="20" t="n">
        <v>639</v>
      </c>
      <c r="B64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49" s="21">
        <f>B649*$B$7</f>
        <v/>
      </c>
    </row>
    <row r="650">
      <c r="A650" s="20" t="n">
        <v>640</v>
      </c>
      <c r="B65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50" s="21">
        <f>B650*$B$7</f>
        <v/>
      </c>
    </row>
    <row r="651">
      <c r="A651" s="20" t="n">
        <v>641</v>
      </c>
      <c r="B65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51" s="21">
        <f>B651*$B$7</f>
        <v/>
      </c>
    </row>
    <row r="652">
      <c r="A652" s="20" t="n">
        <v>642</v>
      </c>
      <c r="B65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52" s="21">
        <f>B652*$B$7</f>
        <v/>
      </c>
    </row>
    <row r="653">
      <c r="A653" s="20" t="n">
        <v>643</v>
      </c>
      <c r="B65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53" s="21">
        <f>B653*$B$7</f>
        <v/>
      </c>
    </row>
    <row r="654">
      <c r="A654" s="20" t="n">
        <v>644</v>
      </c>
      <c r="B65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54" s="21">
        <f>B654*$B$7</f>
        <v/>
      </c>
    </row>
    <row r="655">
      <c r="A655" s="20" t="n">
        <v>645</v>
      </c>
      <c r="B65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55" s="21">
        <f>B655*$B$7</f>
        <v/>
      </c>
    </row>
    <row r="656">
      <c r="A656" s="20" t="n">
        <v>646</v>
      </c>
      <c r="B65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56" s="21">
        <f>B656*$B$7</f>
        <v/>
      </c>
    </row>
    <row r="657">
      <c r="A657" s="20" t="n">
        <v>647</v>
      </c>
      <c r="B65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57" s="21">
        <f>B657*$B$7</f>
        <v/>
      </c>
    </row>
    <row r="658">
      <c r="A658" s="20" t="n">
        <v>648</v>
      </c>
      <c r="B65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58" s="21">
        <f>B658*$B$7</f>
        <v/>
      </c>
    </row>
    <row r="659">
      <c r="A659" s="20" t="n">
        <v>649</v>
      </c>
      <c r="B65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59" s="21">
        <f>B659*$B$7</f>
        <v/>
      </c>
    </row>
    <row r="660">
      <c r="A660" s="20" t="n">
        <v>650</v>
      </c>
      <c r="B66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60" s="21">
        <f>B660*$B$7</f>
        <v/>
      </c>
    </row>
    <row r="661">
      <c r="A661" s="20" t="n">
        <v>651</v>
      </c>
      <c r="B66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61" s="21">
        <f>B661*$B$7</f>
        <v/>
      </c>
    </row>
    <row r="662">
      <c r="A662" s="20" t="n">
        <v>652</v>
      </c>
      <c r="B66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62" s="21">
        <f>B662*$B$7</f>
        <v/>
      </c>
    </row>
    <row r="663">
      <c r="A663" s="20" t="n">
        <v>653</v>
      </c>
      <c r="B66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63" s="21">
        <f>B663*$B$7</f>
        <v/>
      </c>
    </row>
    <row r="664">
      <c r="A664" s="20" t="n">
        <v>654</v>
      </c>
      <c r="B66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64" s="21">
        <f>B664*$B$7</f>
        <v/>
      </c>
    </row>
    <row r="665">
      <c r="A665" s="20" t="n">
        <v>655</v>
      </c>
      <c r="B66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65" s="21">
        <f>B665*$B$7</f>
        <v/>
      </c>
    </row>
    <row r="666">
      <c r="A666" s="20" t="n">
        <v>656</v>
      </c>
      <c r="B66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66" s="21">
        <f>B666*$B$7</f>
        <v/>
      </c>
    </row>
    <row r="667">
      <c r="A667" s="20" t="n">
        <v>657</v>
      </c>
      <c r="B66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67" s="21">
        <f>B667*$B$7</f>
        <v/>
      </c>
    </row>
    <row r="668">
      <c r="A668" s="20" t="n">
        <v>658</v>
      </c>
      <c r="B66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68" s="21">
        <f>B668*$B$7</f>
        <v/>
      </c>
    </row>
    <row r="669">
      <c r="A669" s="20" t="n">
        <v>659</v>
      </c>
      <c r="B66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69" s="21">
        <f>B669*$B$7</f>
        <v/>
      </c>
    </row>
    <row r="670">
      <c r="A670" s="20" t="n">
        <v>660</v>
      </c>
      <c r="B67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70" s="21">
        <f>B670*$B$7</f>
        <v/>
      </c>
    </row>
    <row r="671">
      <c r="A671" s="20" t="n">
        <v>661</v>
      </c>
      <c r="B67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71" s="21">
        <f>B671*$B$7</f>
        <v/>
      </c>
    </row>
    <row r="672">
      <c r="A672" s="20" t="n">
        <v>662</v>
      </c>
      <c r="B67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72" s="21">
        <f>B672*$B$7</f>
        <v/>
      </c>
    </row>
    <row r="673">
      <c r="A673" s="20" t="n">
        <v>663</v>
      </c>
      <c r="B67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73" s="21">
        <f>B673*$B$7</f>
        <v/>
      </c>
    </row>
    <row r="674">
      <c r="A674" s="20" t="n">
        <v>664</v>
      </c>
      <c r="B67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74" s="21">
        <f>B674*$B$7</f>
        <v/>
      </c>
    </row>
    <row r="675">
      <c r="A675" s="20" t="n">
        <v>665</v>
      </c>
      <c r="B67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75" s="21">
        <f>B675*$B$7</f>
        <v/>
      </c>
    </row>
    <row r="676">
      <c r="A676" s="20" t="n">
        <v>666</v>
      </c>
      <c r="B67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76" s="21">
        <f>B676*$B$7</f>
        <v/>
      </c>
    </row>
    <row r="677">
      <c r="A677" s="20" t="n">
        <v>667</v>
      </c>
      <c r="B67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77" s="21">
        <f>B677*$B$7</f>
        <v/>
      </c>
    </row>
    <row r="678">
      <c r="A678" s="20" t="n">
        <v>668</v>
      </c>
      <c r="B67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78" s="21">
        <f>B678*$B$7</f>
        <v/>
      </c>
    </row>
    <row r="679">
      <c r="A679" s="20" t="n">
        <v>669</v>
      </c>
      <c r="B67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79" s="21">
        <f>B679*$B$7</f>
        <v/>
      </c>
    </row>
    <row r="680">
      <c r="A680" s="20" t="n">
        <v>670</v>
      </c>
      <c r="B68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80" s="21">
        <f>B680*$B$7</f>
        <v/>
      </c>
    </row>
    <row r="681">
      <c r="A681" s="20" t="n">
        <v>671</v>
      </c>
      <c r="B68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81" s="21">
        <f>B681*$B$7</f>
        <v/>
      </c>
    </row>
    <row r="682">
      <c r="A682" s="20" t="n">
        <v>672</v>
      </c>
      <c r="B68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82" s="21">
        <f>B682*$B$7</f>
        <v/>
      </c>
    </row>
    <row r="683">
      <c r="A683" s="20" t="n">
        <v>673</v>
      </c>
      <c r="B68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83" s="21">
        <f>B683*$B$7</f>
        <v/>
      </c>
    </row>
    <row r="684">
      <c r="A684" s="20" t="n">
        <v>674</v>
      </c>
      <c r="B68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84" s="21">
        <f>B684*$B$7</f>
        <v/>
      </c>
    </row>
    <row r="685">
      <c r="A685" s="20" t="n">
        <v>675</v>
      </c>
      <c r="B68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85" s="21">
        <f>B685*$B$7</f>
        <v/>
      </c>
    </row>
    <row r="686">
      <c r="A686" s="20" t="n">
        <v>676</v>
      </c>
      <c r="B68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86" s="21">
        <f>B686*$B$7</f>
        <v/>
      </c>
    </row>
    <row r="687">
      <c r="A687" s="20" t="n">
        <v>677</v>
      </c>
      <c r="B68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87" s="21">
        <f>B687*$B$7</f>
        <v/>
      </c>
    </row>
    <row r="688">
      <c r="A688" s="20" t="n">
        <v>678</v>
      </c>
      <c r="B68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88" s="21">
        <f>B688*$B$7</f>
        <v/>
      </c>
    </row>
    <row r="689">
      <c r="A689" s="20" t="n">
        <v>679</v>
      </c>
      <c r="B68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89" s="21">
        <f>B689*$B$7</f>
        <v/>
      </c>
    </row>
    <row r="690">
      <c r="A690" s="20" t="n">
        <v>680</v>
      </c>
      <c r="B69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90" s="21">
        <f>B690*$B$7</f>
        <v/>
      </c>
    </row>
    <row r="691">
      <c r="A691" s="20" t="n">
        <v>681</v>
      </c>
      <c r="B69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91" s="21">
        <f>B691*$B$7</f>
        <v/>
      </c>
    </row>
    <row r="692">
      <c r="A692" s="20" t="n">
        <v>682</v>
      </c>
      <c r="B69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92" s="21">
        <f>B692*$B$7</f>
        <v/>
      </c>
    </row>
    <row r="693">
      <c r="A693" s="20" t="n">
        <v>683</v>
      </c>
      <c r="B69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93" s="21">
        <f>B693*$B$7</f>
        <v/>
      </c>
    </row>
    <row r="694">
      <c r="A694" s="20" t="n">
        <v>684</v>
      </c>
      <c r="B69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94" s="21">
        <f>B694*$B$7</f>
        <v/>
      </c>
    </row>
    <row r="695">
      <c r="A695" s="20" t="n">
        <v>685</v>
      </c>
      <c r="B69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95" s="21">
        <f>B695*$B$7</f>
        <v/>
      </c>
    </row>
    <row r="696">
      <c r="A696" s="20" t="n">
        <v>686</v>
      </c>
      <c r="B69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96" s="21">
        <f>B696*$B$7</f>
        <v/>
      </c>
    </row>
    <row r="697">
      <c r="A697" s="20" t="n">
        <v>687</v>
      </c>
      <c r="B69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97" s="21">
        <f>B697*$B$7</f>
        <v/>
      </c>
    </row>
    <row r="698">
      <c r="A698" s="20" t="n">
        <v>688</v>
      </c>
      <c r="B69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98" s="21">
        <f>B698*$B$7</f>
        <v/>
      </c>
    </row>
    <row r="699">
      <c r="A699" s="20" t="n">
        <v>689</v>
      </c>
      <c r="B69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699" s="21">
        <f>B699*$B$7</f>
        <v/>
      </c>
    </row>
    <row r="700">
      <c r="A700" s="20" t="n">
        <v>690</v>
      </c>
      <c r="B70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00" s="21">
        <f>B700*$B$7</f>
        <v/>
      </c>
    </row>
    <row r="701">
      <c r="A701" s="20" t="n">
        <v>691</v>
      </c>
      <c r="B70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01" s="21">
        <f>B701*$B$7</f>
        <v/>
      </c>
    </row>
    <row r="702">
      <c r="A702" s="20" t="n">
        <v>692</v>
      </c>
      <c r="B70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02" s="21">
        <f>B702*$B$7</f>
        <v/>
      </c>
    </row>
    <row r="703">
      <c r="A703" s="20" t="n">
        <v>693</v>
      </c>
      <c r="B70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03" s="21">
        <f>B703*$B$7</f>
        <v/>
      </c>
    </row>
    <row r="704">
      <c r="A704" s="20" t="n">
        <v>694</v>
      </c>
      <c r="B70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04" s="21">
        <f>B704*$B$7</f>
        <v/>
      </c>
    </row>
    <row r="705">
      <c r="A705" s="20" t="n">
        <v>695</v>
      </c>
      <c r="B70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05" s="21">
        <f>B705*$B$7</f>
        <v/>
      </c>
    </row>
    <row r="706">
      <c r="A706" s="20" t="n">
        <v>696</v>
      </c>
      <c r="B70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06" s="21">
        <f>B706*$B$7</f>
        <v/>
      </c>
    </row>
    <row r="707">
      <c r="A707" s="20" t="n">
        <v>697</v>
      </c>
      <c r="B70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07" s="21">
        <f>B707*$B$7</f>
        <v/>
      </c>
    </row>
    <row r="708">
      <c r="A708" s="20" t="n">
        <v>698</v>
      </c>
      <c r="B70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08" s="21">
        <f>B708*$B$7</f>
        <v/>
      </c>
    </row>
    <row r="709">
      <c r="A709" s="20" t="n">
        <v>699</v>
      </c>
      <c r="B70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09" s="21">
        <f>B709*$B$7</f>
        <v/>
      </c>
    </row>
    <row r="710">
      <c r="A710" s="20" t="n">
        <v>700</v>
      </c>
      <c r="B71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10" s="21">
        <f>B710*$B$7</f>
        <v/>
      </c>
    </row>
    <row r="711">
      <c r="A711" s="20" t="n">
        <v>701</v>
      </c>
      <c r="B71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11" s="21">
        <f>B711*$B$7</f>
        <v/>
      </c>
    </row>
    <row r="712">
      <c r="A712" s="20" t="n">
        <v>702</v>
      </c>
      <c r="B71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12" s="21">
        <f>B712*$B$7</f>
        <v/>
      </c>
    </row>
    <row r="713">
      <c r="A713" s="20" t="n">
        <v>703</v>
      </c>
      <c r="B71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13" s="21">
        <f>B713*$B$7</f>
        <v/>
      </c>
    </row>
    <row r="714">
      <c r="A714" s="20" t="n">
        <v>704</v>
      </c>
      <c r="B71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14" s="21">
        <f>B714*$B$7</f>
        <v/>
      </c>
    </row>
    <row r="715">
      <c r="A715" s="20" t="n">
        <v>705</v>
      </c>
      <c r="B71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15" s="21">
        <f>B715*$B$7</f>
        <v/>
      </c>
    </row>
    <row r="716">
      <c r="A716" s="20" t="n">
        <v>706</v>
      </c>
      <c r="B71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16" s="21">
        <f>B716*$B$7</f>
        <v/>
      </c>
    </row>
    <row r="717">
      <c r="A717" s="20" t="n">
        <v>707</v>
      </c>
      <c r="B71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17" s="21">
        <f>B717*$B$7</f>
        <v/>
      </c>
    </row>
    <row r="718">
      <c r="A718" s="20" t="n">
        <v>708</v>
      </c>
      <c r="B71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18" s="21">
        <f>B718*$B$7</f>
        <v/>
      </c>
    </row>
    <row r="719">
      <c r="A719" s="20" t="n">
        <v>709</v>
      </c>
      <c r="B71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19" s="21">
        <f>B719*$B$7</f>
        <v/>
      </c>
    </row>
    <row r="720">
      <c r="A720" s="20" t="n">
        <v>710</v>
      </c>
      <c r="B72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20" s="21">
        <f>B720*$B$7</f>
        <v/>
      </c>
    </row>
    <row r="721">
      <c r="A721" s="20" t="n">
        <v>711</v>
      </c>
      <c r="B72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21" s="21">
        <f>B721*$B$7</f>
        <v/>
      </c>
    </row>
    <row r="722">
      <c r="A722" s="20" t="n">
        <v>712</v>
      </c>
      <c r="B72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22" s="21">
        <f>B722*$B$7</f>
        <v/>
      </c>
    </row>
    <row r="723">
      <c r="A723" s="20" t="n">
        <v>713</v>
      </c>
      <c r="B72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23" s="21">
        <f>B723*$B$7</f>
        <v/>
      </c>
    </row>
    <row r="724">
      <c r="A724" s="20" t="n">
        <v>714</v>
      </c>
      <c r="B72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24" s="21">
        <f>B724*$B$7</f>
        <v/>
      </c>
    </row>
    <row r="725">
      <c r="A725" s="20" t="n">
        <v>715</v>
      </c>
      <c r="B72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25" s="21">
        <f>B725*$B$7</f>
        <v/>
      </c>
    </row>
    <row r="726">
      <c r="A726" s="20" t="n">
        <v>716</v>
      </c>
      <c r="B72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26" s="21">
        <f>B726*$B$7</f>
        <v/>
      </c>
    </row>
    <row r="727">
      <c r="A727" s="20" t="n">
        <v>717</v>
      </c>
      <c r="B72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27" s="21">
        <f>B727*$B$7</f>
        <v/>
      </c>
    </row>
    <row r="728">
      <c r="A728" s="20" t="n">
        <v>718</v>
      </c>
      <c r="B72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28" s="21">
        <f>B728*$B$7</f>
        <v/>
      </c>
    </row>
    <row r="729">
      <c r="A729" s="20" t="n">
        <v>719</v>
      </c>
      <c r="B72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29" s="21">
        <f>B729*$B$7</f>
        <v/>
      </c>
    </row>
    <row r="730">
      <c r="A730" s="20" t="n">
        <v>720</v>
      </c>
      <c r="B73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30" s="21">
        <f>B730*$B$7</f>
        <v/>
      </c>
    </row>
    <row r="731">
      <c r="A731" s="20" t="n">
        <v>721</v>
      </c>
      <c r="B73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31" s="21">
        <f>B731*$B$7</f>
        <v/>
      </c>
    </row>
    <row r="732">
      <c r="A732" s="20" t="n">
        <v>722</v>
      </c>
      <c r="B73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32" s="21">
        <f>B732*$B$7</f>
        <v/>
      </c>
    </row>
    <row r="733">
      <c r="A733" s="20" t="n">
        <v>723</v>
      </c>
      <c r="B73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33" s="21">
        <f>B733*$B$7</f>
        <v/>
      </c>
    </row>
    <row r="734">
      <c r="A734" s="20" t="n">
        <v>724</v>
      </c>
      <c r="B73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34" s="21">
        <f>B734*$B$7</f>
        <v/>
      </c>
    </row>
    <row r="735">
      <c r="A735" s="20" t="n">
        <v>725</v>
      </c>
      <c r="B73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35" s="21">
        <f>B735*$B$7</f>
        <v/>
      </c>
    </row>
    <row r="736">
      <c r="A736" s="20" t="n">
        <v>726</v>
      </c>
      <c r="B73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36" s="21">
        <f>B736*$B$7</f>
        <v/>
      </c>
    </row>
    <row r="737">
      <c r="A737" s="20" t="n">
        <v>727</v>
      </c>
      <c r="B73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37" s="21">
        <f>B737*$B$7</f>
        <v/>
      </c>
    </row>
    <row r="738">
      <c r="A738" s="20" t="n">
        <v>728</v>
      </c>
      <c r="B73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38" s="21">
        <f>B738*$B$7</f>
        <v/>
      </c>
    </row>
    <row r="739">
      <c r="A739" s="20" t="n">
        <v>729</v>
      </c>
      <c r="B73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39" s="21">
        <f>B739*$B$7</f>
        <v/>
      </c>
    </row>
    <row r="740">
      <c r="A740" s="20" t="n">
        <v>730</v>
      </c>
      <c r="B74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40" s="21">
        <f>B740*$B$7</f>
        <v/>
      </c>
    </row>
    <row r="741">
      <c r="A741" s="20" t="n">
        <v>731</v>
      </c>
      <c r="B74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41" s="21">
        <f>B741*$B$7</f>
        <v/>
      </c>
    </row>
    <row r="742">
      <c r="A742" s="20" t="n">
        <v>732</v>
      </c>
      <c r="B74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42" s="21">
        <f>B742*$B$7</f>
        <v/>
      </c>
    </row>
    <row r="743">
      <c r="A743" s="20" t="n">
        <v>733</v>
      </c>
      <c r="B74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43" s="21">
        <f>B743*$B$7</f>
        <v/>
      </c>
    </row>
    <row r="744">
      <c r="A744" s="20" t="n">
        <v>734</v>
      </c>
      <c r="B74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44" s="21">
        <f>B744*$B$7</f>
        <v/>
      </c>
    </row>
    <row r="745">
      <c r="A745" s="20" t="n">
        <v>735</v>
      </c>
      <c r="B74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45" s="21">
        <f>B745*$B$7</f>
        <v/>
      </c>
    </row>
    <row r="746">
      <c r="A746" s="20" t="n">
        <v>736</v>
      </c>
      <c r="B74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46" s="21">
        <f>B746*$B$7</f>
        <v/>
      </c>
    </row>
    <row r="747">
      <c r="A747" s="20" t="n">
        <v>737</v>
      </c>
      <c r="B74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47" s="21">
        <f>B747*$B$7</f>
        <v/>
      </c>
    </row>
    <row r="748">
      <c r="A748" s="20" t="n">
        <v>738</v>
      </c>
      <c r="B74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48" s="21">
        <f>B748*$B$7</f>
        <v/>
      </c>
    </row>
    <row r="749">
      <c r="A749" s="20" t="n">
        <v>739</v>
      </c>
      <c r="B74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49" s="21">
        <f>B749*$B$7</f>
        <v/>
      </c>
    </row>
    <row r="750">
      <c r="A750" s="20" t="n">
        <v>740</v>
      </c>
      <c r="B75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50" s="21">
        <f>B750*$B$7</f>
        <v/>
      </c>
    </row>
    <row r="751">
      <c r="A751" s="20" t="n">
        <v>741</v>
      </c>
      <c r="B75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51" s="21">
        <f>B751*$B$7</f>
        <v/>
      </c>
    </row>
    <row r="752">
      <c r="A752" s="20" t="n">
        <v>742</v>
      </c>
      <c r="B75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52" s="21">
        <f>B752*$B$7</f>
        <v/>
      </c>
    </row>
    <row r="753">
      <c r="A753" s="20" t="n">
        <v>743</v>
      </c>
      <c r="B75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53" s="21">
        <f>B753*$B$7</f>
        <v/>
      </c>
    </row>
    <row r="754">
      <c r="A754" s="20" t="n">
        <v>744</v>
      </c>
      <c r="B75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54" s="21">
        <f>B754*$B$7</f>
        <v/>
      </c>
    </row>
    <row r="755">
      <c r="A755" s="20" t="n">
        <v>745</v>
      </c>
      <c r="B75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55" s="21">
        <f>B755*$B$7</f>
        <v/>
      </c>
    </row>
    <row r="756">
      <c r="A756" s="20" t="n">
        <v>746</v>
      </c>
      <c r="B75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56" s="21">
        <f>B756*$B$7</f>
        <v/>
      </c>
    </row>
    <row r="757">
      <c r="A757" s="20" t="n">
        <v>747</v>
      </c>
      <c r="B75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57" s="21">
        <f>B757*$B$7</f>
        <v/>
      </c>
    </row>
    <row r="758">
      <c r="A758" s="20" t="n">
        <v>748</v>
      </c>
      <c r="B75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58" s="21">
        <f>B758*$B$7</f>
        <v/>
      </c>
    </row>
    <row r="759">
      <c r="A759" s="20" t="n">
        <v>749</v>
      </c>
      <c r="B75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59" s="21">
        <f>B759*$B$7</f>
        <v/>
      </c>
    </row>
    <row r="760">
      <c r="A760" s="20" t="n">
        <v>750</v>
      </c>
      <c r="B76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60" s="21">
        <f>B760*$B$7</f>
        <v/>
      </c>
    </row>
    <row r="761">
      <c r="A761" s="20" t="n">
        <v>751</v>
      </c>
      <c r="B76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61" s="21">
        <f>B761*$B$7</f>
        <v/>
      </c>
    </row>
    <row r="762">
      <c r="A762" s="20" t="n">
        <v>752</v>
      </c>
      <c r="B76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62" s="21">
        <f>B762*$B$7</f>
        <v/>
      </c>
    </row>
    <row r="763">
      <c r="A763" s="20" t="n">
        <v>753</v>
      </c>
      <c r="B76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63" s="21">
        <f>B763*$B$7</f>
        <v/>
      </c>
    </row>
    <row r="764">
      <c r="A764" s="20" t="n">
        <v>754</v>
      </c>
      <c r="B76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64" s="21">
        <f>B764*$B$7</f>
        <v/>
      </c>
    </row>
    <row r="765">
      <c r="A765" s="20" t="n">
        <v>755</v>
      </c>
      <c r="B76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65" s="21">
        <f>B765*$B$7</f>
        <v/>
      </c>
    </row>
    <row r="766">
      <c r="A766" s="20" t="n">
        <v>756</v>
      </c>
      <c r="B76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66" s="21">
        <f>B766*$B$7</f>
        <v/>
      </c>
    </row>
    <row r="767">
      <c r="A767" s="20" t="n">
        <v>757</v>
      </c>
      <c r="B76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67" s="21">
        <f>B767*$B$7</f>
        <v/>
      </c>
    </row>
    <row r="768">
      <c r="A768" s="20" t="n">
        <v>758</v>
      </c>
      <c r="B76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68" s="21">
        <f>B768*$B$7</f>
        <v/>
      </c>
    </row>
    <row r="769">
      <c r="A769" s="20" t="n">
        <v>759</v>
      </c>
      <c r="B76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69" s="21">
        <f>B769*$B$7</f>
        <v/>
      </c>
    </row>
    <row r="770">
      <c r="A770" s="20" t="n">
        <v>760</v>
      </c>
      <c r="B77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70" s="21">
        <f>B770*$B$7</f>
        <v/>
      </c>
    </row>
    <row r="771">
      <c r="A771" s="20" t="n">
        <v>761</v>
      </c>
      <c r="B77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71" s="21">
        <f>B771*$B$7</f>
        <v/>
      </c>
    </row>
    <row r="772">
      <c r="A772" s="20" t="n">
        <v>762</v>
      </c>
      <c r="B77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72" s="21">
        <f>B772*$B$7</f>
        <v/>
      </c>
    </row>
    <row r="773">
      <c r="A773" s="20" t="n">
        <v>763</v>
      </c>
      <c r="B77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73" s="21">
        <f>B773*$B$7</f>
        <v/>
      </c>
    </row>
    <row r="774">
      <c r="A774" s="20" t="n">
        <v>764</v>
      </c>
      <c r="B77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74" s="21">
        <f>B774*$B$7</f>
        <v/>
      </c>
    </row>
    <row r="775">
      <c r="A775" s="20" t="n">
        <v>765</v>
      </c>
      <c r="B77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75" s="21">
        <f>B775*$B$7</f>
        <v/>
      </c>
    </row>
    <row r="776">
      <c r="A776" s="20" t="n">
        <v>766</v>
      </c>
      <c r="B77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76" s="21">
        <f>B776*$B$7</f>
        <v/>
      </c>
    </row>
    <row r="777">
      <c r="A777" s="20" t="n">
        <v>767</v>
      </c>
      <c r="B77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77" s="21">
        <f>B777*$B$7</f>
        <v/>
      </c>
    </row>
    <row r="778">
      <c r="A778" s="20" t="n">
        <v>768</v>
      </c>
      <c r="B77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78" s="21">
        <f>B778*$B$7</f>
        <v/>
      </c>
    </row>
    <row r="779">
      <c r="A779" s="20" t="n">
        <v>769</v>
      </c>
      <c r="B77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79" s="21">
        <f>B779*$B$7</f>
        <v/>
      </c>
    </row>
    <row r="780">
      <c r="A780" s="20" t="n">
        <v>770</v>
      </c>
      <c r="B78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80" s="21">
        <f>B780*$B$7</f>
        <v/>
      </c>
    </row>
    <row r="781">
      <c r="A781" s="20" t="n">
        <v>771</v>
      </c>
      <c r="B78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81" s="21">
        <f>B781*$B$7</f>
        <v/>
      </c>
    </row>
    <row r="782">
      <c r="A782" s="20" t="n">
        <v>772</v>
      </c>
      <c r="B78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82" s="21">
        <f>B782*$B$7</f>
        <v/>
      </c>
    </row>
    <row r="783">
      <c r="A783" s="20" t="n">
        <v>773</v>
      </c>
      <c r="B78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83" s="21">
        <f>B783*$B$7</f>
        <v/>
      </c>
    </row>
    <row r="784">
      <c r="A784" s="20" t="n">
        <v>774</v>
      </c>
      <c r="B78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84" s="21">
        <f>B784*$B$7</f>
        <v/>
      </c>
    </row>
    <row r="785">
      <c r="A785" s="20" t="n">
        <v>775</v>
      </c>
      <c r="B78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85" s="21">
        <f>B785*$B$7</f>
        <v/>
      </c>
    </row>
    <row r="786">
      <c r="A786" s="20" t="n">
        <v>776</v>
      </c>
      <c r="B78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86" s="21">
        <f>B786*$B$7</f>
        <v/>
      </c>
    </row>
    <row r="787">
      <c r="A787" s="20" t="n">
        <v>777</v>
      </c>
      <c r="B78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87" s="21">
        <f>B787*$B$7</f>
        <v/>
      </c>
    </row>
    <row r="788">
      <c r="A788" s="20" t="n">
        <v>778</v>
      </c>
      <c r="B78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88" s="21">
        <f>B788*$B$7</f>
        <v/>
      </c>
    </row>
    <row r="789">
      <c r="A789" s="20" t="n">
        <v>779</v>
      </c>
      <c r="B78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89" s="21">
        <f>B789*$B$7</f>
        <v/>
      </c>
    </row>
    <row r="790">
      <c r="A790" s="20" t="n">
        <v>780</v>
      </c>
      <c r="B79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90" s="21">
        <f>B790*$B$7</f>
        <v/>
      </c>
    </row>
    <row r="791">
      <c r="A791" s="20" t="n">
        <v>781</v>
      </c>
      <c r="B79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91" s="21">
        <f>B791*$B$7</f>
        <v/>
      </c>
    </row>
    <row r="792">
      <c r="A792" s="20" t="n">
        <v>782</v>
      </c>
      <c r="B79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92" s="21">
        <f>B792*$B$7</f>
        <v/>
      </c>
    </row>
    <row r="793">
      <c r="A793" s="20" t="n">
        <v>783</v>
      </c>
      <c r="B79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93" s="21">
        <f>B793*$B$7</f>
        <v/>
      </c>
    </row>
    <row r="794">
      <c r="A794" s="20" t="n">
        <v>784</v>
      </c>
      <c r="B79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94" s="21">
        <f>B794*$B$7</f>
        <v/>
      </c>
    </row>
    <row r="795">
      <c r="A795" s="20" t="n">
        <v>785</v>
      </c>
      <c r="B79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95" s="21">
        <f>B795*$B$7</f>
        <v/>
      </c>
    </row>
    <row r="796">
      <c r="A796" s="20" t="n">
        <v>786</v>
      </c>
      <c r="B79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96" s="21">
        <f>B796*$B$7</f>
        <v/>
      </c>
    </row>
    <row r="797">
      <c r="A797" s="20" t="n">
        <v>787</v>
      </c>
      <c r="B79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97" s="21">
        <f>B797*$B$7</f>
        <v/>
      </c>
    </row>
    <row r="798">
      <c r="A798" s="20" t="n">
        <v>788</v>
      </c>
      <c r="B79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98" s="21">
        <f>B798*$B$7</f>
        <v/>
      </c>
    </row>
    <row r="799">
      <c r="A799" s="20" t="n">
        <v>789</v>
      </c>
      <c r="B79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799" s="21">
        <f>B799*$B$7</f>
        <v/>
      </c>
    </row>
    <row r="800">
      <c r="A800" s="20" t="n">
        <v>790</v>
      </c>
      <c r="B80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00" s="21">
        <f>B800*$B$7</f>
        <v/>
      </c>
    </row>
    <row r="801">
      <c r="A801" s="20" t="n">
        <v>791</v>
      </c>
      <c r="B80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01" s="21">
        <f>B801*$B$7</f>
        <v/>
      </c>
    </row>
    <row r="802">
      <c r="A802" s="20" t="n">
        <v>792</v>
      </c>
      <c r="B80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02" s="21">
        <f>B802*$B$7</f>
        <v/>
      </c>
    </row>
    <row r="803">
      <c r="A803" s="20" t="n">
        <v>793</v>
      </c>
      <c r="B80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03" s="21">
        <f>B803*$B$7</f>
        <v/>
      </c>
    </row>
    <row r="804">
      <c r="A804" s="20" t="n">
        <v>794</v>
      </c>
      <c r="B80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04" s="21">
        <f>B804*$B$7</f>
        <v/>
      </c>
    </row>
    <row r="805">
      <c r="A805" s="20" t="n">
        <v>795</v>
      </c>
      <c r="B80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05" s="21">
        <f>B805*$B$7</f>
        <v/>
      </c>
    </row>
    <row r="806">
      <c r="A806" s="20" t="n">
        <v>796</v>
      </c>
      <c r="B80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06" s="21">
        <f>B806*$B$7</f>
        <v/>
      </c>
    </row>
    <row r="807">
      <c r="A807" s="20" t="n">
        <v>797</v>
      </c>
      <c r="B80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07" s="21">
        <f>B807*$B$7</f>
        <v/>
      </c>
    </row>
    <row r="808">
      <c r="A808" s="20" t="n">
        <v>798</v>
      </c>
      <c r="B80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08" s="21">
        <f>B808*$B$7</f>
        <v/>
      </c>
    </row>
    <row r="809">
      <c r="A809" s="20" t="n">
        <v>799</v>
      </c>
      <c r="B80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09" s="21">
        <f>B809*$B$7</f>
        <v/>
      </c>
    </row>
    <row r="810">
      <c r="A810" s="20" t="n">
        <v>800</v>
      </c>
      <c r="B81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10" s="21">
        <f>B810*$B$7</f>
        <v/>
      </c>
    </row>
    <row r="811">
      <c r="A811" s="20" t="n">
        <v>801</v>
      </c>
      <c r="B81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11" s="21">
        <f>B811*$B$7</f>
        <v/>
      </c>
    </row>
    <row r="812">
      <c r="A812" s="20" t="n">
        <v>802</v>
      </c>
      <c r="B81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12" s="21">
        <f>B812*$B$7</f>
        <v/>
      </c>
    </row>
    <row r="813">
      <c r="A813" s="20" t="n">
        <v>803</v>
      </c>
      <c r="B81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13" s="21">
        <f>B813*$B$7</f>
        <v/>
      </c>
    </row>
    <row r="814">
      <c r="A814" s="20" t="n">
        <v>804</v>
      </c>
      <c r="B81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14" s="21">
        <f>B814*$B$7</f>
        <v/>
      </c>
    </row>
    <row r="815">
      <c r="A815" s="20" t="n">
        <v>805</v>
      </c>
      <c r="B81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15" s="21">
        <f>B815*$B$7</f>
        <v/>
      </c>
    </row>
    <row r="816">
      <c r="A816" s="20" t="n">
        <v>806</v>
      </c>
      <c r="B81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16" s="21">
        <f>B816*$B$7</f>
        <v/>
      </c>
    </row>
    <row r="817">
      <c r="A817" s="20" t="n">
        <v>807</v>
      </c>
      <c r="B81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17" s="21">
        <f>B817*$B$7</f>
        <v/>
      </c>
    </row>
    <row r="818">
      <c r="A818" s="20" t="n">
        <v>808</v>
      </c>
      <c r="B81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18" s="21">
        <f>B818*$B$7</f>
        <v/>
      </c>
    </row>
    <row r="819">
      <c r="A819" s="20" t="n">
        <v>809</v>
      </c>
      <c r="B81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19" s="21">
        <f>B819*$B$7</f>
        <v/>
      </c>
    </row>
    <row r="820">
      <c r="A820" s="20" t="n">
        <v>810</v>
      </c>
      <c r="B82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20" s="21">
        <f>B820*$B$7</f>
        <v/>
      </c>
    </row>
    <row r="821">
      <c r="A821" s="20" t="n">
        <v>811</v>
      </c>
      <c r="B82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21" s="21">
        <f>B821*$B$7</f>
        <v/>
      </c>
    </row>
    <row r="822">
      <c r="A822" s="20" t="n">
        <v>812</v>
      </c>
      <c r="B82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22" s="21">
        <f>B822*$B$7</f>
        <v/>
      </c>
    </row>
    <row r="823">
      <c r="A823" s="20" t="n">
        <v>813</v>
      </c>
      <c r="B82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23" s="21">
        <f>B823*$B$7</f>
        <v/>
      </c>
    </row>
    <row r="824">
      <c r="A824" s="20" t="n">
        <v>814</v>
      </c>
      <c r="B82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24" s="21">
        <f>B824*$B$7</f>
        <v/>
      </c>
    </row>
    <row r="825">
      <c r="A825" s="20" t="n">
        <v>815</v>
      </c>
      <c r="B82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25" s="21">
        <f>B825*$B$7</f>
        <v/>
      </c>
    </row>
    <row r="826">
      <c r="A826" s="20" t="n">
        <v>816</v>
      </c>
      <c r="B82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26" s="21">
        <f>B826*$B$7</f>
        <v/>
      </c>
    </row>
    <row r="827">
      <c r="A827" s="20" t="n">
        <v>817</v>
      </c>
      <c r="B82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27" s="21">
        <f>B827*$B$7</f>
        <v/>
      </c>
    </row>
    <row r="828">
      <c r="A828" s="20" t="n">
        <v>818</v>
      </c>
      <c r="B82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28" s="21">
        <f>B828*$B$7</f>
        <v/>
      </c>
    </row>
    <row r="829">
      <c r="A829" s="20" t="n">
        <v>819</v>
      </c>
      <c r="B82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29" s="21">
        <f>B829*$B$7</f>
        <v/>
      </c>
    </row>
    <row r="830">
      <c r="A830" s="20" t="n">
        <v>820</v>
      </c>
      <c r="B83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30" s="21">
        <f>B830*$B$7</f>
        <v/>
      </c>
    </row>
    <row r="831">
      <c r="A831" s="20" t="n">
        <v>821</v>
      </c>
      <c r="B83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31" s="21">
        <f>B831*$B$7</f>
        <v/>
      </c>
    </row>
    <row r="832">
      <c r="A832" s="20" t="n">
        <v>822</v>
      </c>
      <c r="B83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32" s="21">
        <f>B832*$B$7</f>
        <v/>
      </c>
    </row>
    <row r="833">
      <c r="A833" s="20" t="n">
        <v>823</v>
      </c>
      <c r="B83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33" s="21">
        <f>B833*$B$7</f>
        <v/>
      </c>
    </row>
    <row r="834">
      <c r="A834" s="20" t="n">
        <v>824</v>
      </c>
      <c r="B83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34" s="21">
        <f>B834*$B$7</f>
        <v/>
      </c>
    </row>
    <row r="835">
      <c r="A835" s="20" t="n">
        <v>825</v>
      </c>
      <c r="B83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35" s="21">
        <f>B835*$B$7</f>
        <v/>
      </c>
    </row>
    <row r="836">
      <c r="A836" s="20" t="n">
        <v>826</v>
      </c>
      <c r="B83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36" s="21">
        <f>B836*$B$7</f>
        <v/>
      </c>
    </row>
    <row r="837">
      <c r="A837" s="20" t="n">
        <v>827</v>
      </c>
      <c r="B83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37" s="21">
        <f>B837*$B$7</f>
        <v/>
      </c>
    </row>
    <row r="838">
      <c r="A838" s="20" t="n">
        <v>828</v>
      </c>
      <c r="B83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38" s="21">
        <f>B838*$B$7</f>
        <v/>
      </c>
    </row>
    <row r="839">
      <c r="A839" s="20" t="n">
        <v>829</v>
      </c>
      <c r="B83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39" s="21">
        <f>B839*$B$7</f>
        <v/>
      </c>
    </row>
    <row r="840">
      <c r="A840" s="20" t="n">
        <v>830</v>
      </c>
      <c r="B84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40" s="21">
        <f>B840*$B$7</f>
        <v/>
      </c>
    </row>
    <row r="841">
      <c r="A841" s="20" t="n">
        <v>831</v>
      </c>
      <c r="B84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41" s="21">
        <f>B841*$B$7</f>
        <v/>
      </c>
    </row>
    <row r="842">
      <c r="A842" s="20" t="n">
        <v>832</v>
      </c>
      <c r="B84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42" s="21">
        <f>B842*$B$7</f>
        <v/>
      </c>
    </row>
    <row r="843">
      <c r="A843" s="20" t="n">
        <v>833</v>
      </c>
      <c r="B84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43" s="21">
        <f>B843*$B$7</f>
        <v/>
      </c>
    </row>
    <row r="844">
      <c r="A844" s="20" t="n">
        <v>834</v>
      </c>
      <c r="B84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44" s="21">
        <f>B844*$B$7</f>
        <v/>
      </c>
    </row>
    <row r="845">
      <c r="A845" s="20" t="n">
        <v>835</v>
      </c>
      <c r="B84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45" s="21">
        <f>B845*$B$7</f>
        <v/>
      </c>
    </row>
    <row r="846">
      <c r="A846" s="20" t="n">
        <v>836</v>
      </c>
      <c r="B84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46" s="21">
        <f>B846*$B$7</f>
        <v/>
      </c>
    </row>
    <row r="847">
      <c r="A847" s="20" t="n">
        <v>837</v>
      </c>
      <c r="B84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47" s="21">
        <f>B847*$B$7</f>
        <v/>
      </c>
    </row>
    <row r="848">
      <c r="A848" s="20" t="n">
        <v>838</v>
      </c>
      <c r="B84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48" s="21">
        <f>B848*$B$7</f>
        <v/>
      </c>
    </row>
    <row r="849">
      <c r="A849" s="20" t="n">
        <v>839</v>
      </c>
      <c r="B84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49" s="21">
        <f>B849*$B$7</f>
        <v/>
      </c>
    </row>
    <row r="850">
      <c r="A850" s="20" t="n">
        <v>840</v>
      </c>
      <c r="B85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50" s="21">
        <f>B850*$B$7</f>
        <v/>
      </c>
    </row>
    <row r="851">
      <c r="A851" s="20" t="n">
        <v>841</v>
      </c>
      <c r="B85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51" s="21">
        <f>B851*$B$7</f>
        <v/>
      </c>
    </row>
    <row r="852">
      <c r="A852" s="20" t="n">
        <v>842</v>
      </c>
      <c r="B85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52" s="21">
        <f>B852*$B$7</f>
        <v/>
      </c>
    </row>
    <row r="853">
      <c r="A853" s="20" t="n">
        <v>843</v>
      </c>
      <c r="B85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53" s="21">
        <f>B853*$B$7</f>
        <v/>
      </c>
    </row>
    <row r="854">
      <c r="A854" s="20" t="n">
        <v>844</v>
      </c>
      <c r="B85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54" s="21">
        <f>B854*$B$7</f>
        <v/>
      </c>
    </row>
    <row r="855">
      <c r="A855" s="20" t="n">
        <v>845</v>
      </c>
      <c r="B85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55" s="21">
        <f>B855*$B$7</f>
        <v/>
      </c>
    </row>
    <row r="856">
      <c r="A856" s="20" t="n">
        <v>846</v>
      </c>
      <c r="B85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56" s="21">
        <f>B856*$B$7</f>
        <v/>
      </c>
    </row>
    <row r="857">
      <c r="A857" s="20" t="n">
        <v>847</v>
      </c>
      <c r="B85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57" s="21">
        <f>B857*$B$7</f>
        <v/>
      </c>
    </row>
    <row r="858">
      <c r="A858" s="20" t="n">
        <v>848</v>
      </c>
      <c r="B85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58" s="21">
        <f>B858*$B$7</f>
        <v/>
      </c>
    </row>
    <row r="859">
      <c r="A859" s="20" t="n">
        <v>849</v>
      </c>
      <c r="B85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59" s="21">
        <f>B859*$B$7</f>
        <v/>
      </c>
    </row>
    <row r="860">
      <c r="A860" s="20" t="n">
        <v>850</v>
      </c>
      <c r="B86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60" s="21">
        <f>B860*$B$7</f>
        <v/>
      </c>
    </row>
    <row r="861">
      <c r="A861" s="20" t="n">
        <v>851</v>
      </c>
      <c r="B86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61" s="21">
        <f>B861*$B$7</f>
        <v/>
      </c>
    </row>
    <row r="862">
      <c r="A862" s="20" t="n">
        <v>852</v>
      </c>
      <c r="B86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62" s="21">
        <f>B862*$B$7</f>
        <v/>
      </c>
    </row>
    <row r="863">
      <c r="A863" s="20" t="n">
        <v>853</v>
      </c>
      <c r="B86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63" s="21">
        <f>B863*$B$7</f>
        <v/>
      </c>
    </row>
    <row r="864">
      <c r="A864" s="20" t="n">
        <v>854</v>
      </c>
      <c r="B86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64" s="21">
        <f>B864*$B$7</f>
        <v/>
      </c>
    </row>
    <row r="865">
      <c r="A865" s="20" t="n">
        <v>855</v>
      </c>
      <c r="B86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65" s="21">
        <f>B865*$B$7</f>
        <v/>
      </c>
    </row>
    <row r="866">
      <c r="A866" s="20" t="n">
        <v>856</v>
      </c>
      <c r="B86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66" s="21">
        <f>B866*$B$7</f>
        <v/>
      </c>
    </row>
    <row r="867">
      <c r="A867" s="20" t="n">
        <v>857</v>
      </c>
      <c r="B86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67" s="21">
        <f>B867*$B$7</f>
        <v/>
      </c>
    </row>
    <row r="868">
      <c r="A868" s="20" t="n">
        <v>858</v>
      </c>
      <c r="B86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68" s="21">
        <f>B868*$B$7</f>
        <v/>
      </c>
    </row>
    <row r="869">
      <c r="A869" s="20" t="n">
        <v>859</v>
      </c>
      <c r="B86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69" s="21">
        <f>B869*$B$7</f>
        <v/>
      </c>
    </row>
    <row r="870">
      <c r="A870" s="20" t="n">
        <v>860</v>
      </c>
      <c r="B87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70" s="21">
        <f>B870*$B$7</f>
        <v/>
      </c>
    </row>
    <row r="871">
      <c r="A871" s="20" t="n">
        <v>861</v>
      </c>
      <c r="B87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71" s="21">
        <f>B871*$B$7</f>
        <v/>
      </c>
    </row>
    <row r="872">
      <c r="A872" s="20" t="n">
        <v>862</v>
      </c>
      <c r="B87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72" s="21">
        <f>B872*$B$7</f>
        <v/>
      </c>
    </row>
    <row r="873">
      <c r="A873" s="20" t="n">
        <v>863</v>
      </c>
      <c r="B87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73" s="21">
        <f>B873*$B$7</f>
        <v/>
      </c>
    </row>
    <row r="874">
      <c r="A874" s="20" t="n">
        <v>864</v>
      </c>
      <c r="B87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74" s="21">
        <f>B874*$B$7</f>
        <v/>
      </c>
    </row>
    <row r="875">
      <c r="A875" s="20" t="n">
        <v>865</v>
      </c>
      <c r="B87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75" s="21">
        <f>B875*$B$7</f>
        <v/>
      </c>
    </row>
    <row r="876">
      <c r="A876" s="20" t="n">
        <v>866</v>
      </c>
      <c r="B87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76" s="21">
        <f>B876*$B$7</f>
        <v/>
      </c>
    </row>
    <row r="877">
      <c r="A877" s="20" t="n">
        <v>867</v>
      </c>
      <c r="B87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77" s="21">
        <f>B877*$B$7</f>
        <v/>
      </c>
    </row>
    <row r="878">
      <c r="A878" s="20" t="n">
        <v>868</v>
      </c>
      <c r="B87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78" s="21">
        <f>B878*$B$7</f>
        <v/>
      </c>
    </row>
    <row r="879">
      <c r="A879" s="20" t="n">
        <v>869</v>
      </c>
      <c r="B87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79" s="21">
        <f>B879*$B$7</f>
        <v/>
      </c>
    </row>
    <row r="880">
      <c r="A880" s="20" t="n">
        <v>870</v>
      </c>
      <c r="B88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80" s="21">
        <f>B880*$B$7</f>
        <v/>
      </c>
    </row>
    <row r="881">
      <c r="A881" s="20" t="n">
        <v>871</v>
      </c>
      <c r="B88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81" s="21">
        <f>B881*$B$7</f>
        <v/>
      </c>
    </row>
    <row r="882">
      <c r="A882" s="20" t="n">
        <v>872</v>
      </c>
      <c r="B88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82" s="21">
        <f>B882*$B$7</f>
        <v/>
      </c>
    </row>
    <row r="883">
      <c r="A883" s="20" t="n">
        <v>873</v>
      </c>
      <c r="B88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83" s="21">
        <f>B883*$B$7</f>
        <v/>
      </c>
    </row>
    <row r="884">
      <c r="A884" s="20" t="n">
        <v>874</v>
      </c>
      <c r="B88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84" s="21">
        <f>B884*$B$7</f>
        <v/>
      </c>
    </row>
    <row r="885">
      <c r="A885" s="20" t="n">
        <v>875</v>
      </c>
      <c r="B88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85" s="21">
        <f>B885*$B$7</f>
        <v/>
      </c>
    </row>
    <row r="886">
      <c r="A886" s="20" t="n">
        <v>876</v>
      </c>
      <c r="B88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86" s="21">
        <f>B886*$B$7</f>
        <v/>
      </c>
    </row>
    <row r="887">
      <c r="A887" s="20" t="n">
        <v>877</v>
      </c>
      <c r="B88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87" s="21">
        <f>B887*$B$7</f>
        <v/>
      </c>
    </row>
    <row r="888">
      <c r="A888" s="20" t="n">
        <v>878</v>
      </c>
      <c r="B88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88" s="21">
        <f>B888*$B$7</f>
        <v/>
      </c>
    </row>
    <row r="889">
      <c r="A889" s="20" t="n">
        <v>879</v>
      </c>
      <c r="B88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89" s="21">
        <f>B889*$B$7</f>
        <v/>
      </c>
    </row>
    <row r="890">
      <c r="A890" s="20" t="n">
        <v>880</v>
      </c>
      <c r="B89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90" s="21">
        <f>B890*$B$7</f>
        <v/>
      </c>
    </row>
    <row r="891">
      <c r="A891" s="20" t="n">
        <v>881</v>
      </c>
      <c r="B89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91" s="21">
        <f>B891*$B$7</f>
        <v/>
      </c>
    </row>
    <row r="892">
      <c r="A892" s="20" t="n">
        <v>882</v>
      </c>
      <c r="B89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92" s="21">
        <f>B892*$B$7</f>
        <v/>
      </c>
    </row>
    <row r="893">
      <c r="A893" s="20" t="n">
        <v>883</v>
      </c>
      <c r="B89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93" s="21">
        <f>B893*$B$7</f>
        <v/>
      </c>
    </row>
    <row r="894">
      <c r="A894" s="20" t="n">
        <v>884</v>
      </c>
      <c r="B89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94" s="21">
        <f>B894*$B$7</f>
        <v/>
      </c>
    </row>
    <row r="895">
      <c r="A895" s="20" t="n">
        <v>885</v>
      </c>
      <c r="B89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95" s="21">
        <f>B895*$B$7</f>
        <v/>
      </c>
    </row>
    <row r="896">
      <c r="A896" s="20" t="n">
        <v>886</v>
      </c>
      <c r="B89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96" s="21">
        <f>B896*$B$7</f>
        <v/>
      </c>
    </row>
    <row r="897">
      <c r="A897" s="20" t="n">
        <v>887</v>
      </c>
      <c r="B89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97" s="21">
        <f>B897*$B$7</f>
        <v/>
      </c>
    </row>
    <row r="898">
      <c r="A898" s="20" t="n">
        <v>888</v>
      </c>
      <c r="B89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98" s="21">
        <f>B898*$B$7</f>
        <v/>
      </c>
    </row>
    <row r="899">
      <c r="A899" s="20" t="n">
        <v>889</v>
      </c>
      <c r="B89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899" s="21">
        <f>B899*$B$7</f>
        <v/>
      </c>
    </row>
    <row r="900">
      <c r="A900" s="20" t="n">
        <v>890</v>
      </c>
      <c r="B90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00" s="21">
        <f>B900*$B$7</f>
        <v/>
      </c>
    </row>
    <row r="901">
      <c r="A901" s="20" t="n">
        <v>891</v>
      </c>
      <c r="B90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01" s="21">
        <f>B901*$B$7</f>
        <v/>
      </c>
    </row>
    <row r="902">
      <c r="A902" s="20" t="n">
        <v>892</v>
      </c>
      <c r="B90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02" s="21">
        <f>B902*$B$7</f>
        <v/>
      </c>
    </row>
    <row r="903">
      <c r="A903" s="20" t="n">
        <v>893</v>
      </c>
      <c r="B90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03" s="21">
        <f>B903*$B$7</f>
        <v/>
      </c>
    </row>
    <row r="904">
      <c r="A904" s="20" t="n">
        <v>894</v>
      </c>
      <c r="B90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04" s="21">
        <f>B904*$B$7</f>
        <v/>
      </c>
    </row>
    <row r="905">
      <c r="A905" s="20" t="n">
        <v>895</v>
      </c>
      <c r="B90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05" s="21">
        <f>B905*$B$7</f>
        <v/>
      </c>
    </row>
    <row r="906">
      <c r="A906" s="20" t="n">
        <v>896</v>
      </c>
      <c r="B90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06" s="21">
        <f>B906*$B$7</f>
        <v/>
      </c>
    </row>
    <row r="907">
      <c r="A907" s="20" t="n">
        <v>897</v>
      </c>
      <c r="B90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07" s="21">
        <f>B907*$B$7</f>
        <v/>
      </c>
    </row>
    <row r="908">
      <c r="A908" s="20" t="n">
        <v>898</v>
      </c>
      <c r="B90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08" s="21">
        <f>B908*$B$7</f>
        <v/>
      </c>
    </row>
    <row r="909">
      <c r="A909" s="20" t="n">
        <v>899</v>
      </c>
      <c r="B90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09" s="21">
        <f>B909*$B$7</f>
        <v/>
      </c>
    </row>
    <row r="910">
      <c r="A910" s="20" t="n">
        <v>900</v>
      </c>
      <c r="B91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10" s="21">
        <f>B910*$B$7</f>
        <v/>
      </c>
    </row>
    <row r="911">
      <c r="A911" s="20" t="n">
        <v>901</v>
      </c>
      <c r="B91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11" s="21">
        <f>B911*$B$7</f>
        <v/>
      </c>
    </row>
    <row r="912">
      <c r="A912" s="20" t="n">
        <v>902</v>
      </c>
      <c r="B91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12" s="21">
        <f>B912*$B$7</f>
        <v/>
      </c>
    </row>
    <row r="913">
      <c r="A913" s="20" t="n">
        <v>903</v>
      </c>
      <c r="B91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13" s="21">
        <f>B913*$B$7</f>
        <v/>
      </c>
    </row>
    <row r="914">
      <c r="A914" s="20" t="n">
        <v>904</v>
      </c>
      <c r="B91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14" s="21">
        <f>B914*$B$7</f>
        <v/>
      </c>
    </row>
    <row r="915">
      <c r="A915" s="20" t="n">
        <v>905</v>
      </c>
      <c r="B91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15" s="21">
        <f>B915*$B$7</f>
        <v/>
      </c>
    </row>
    <row r="916">
      <c r="A916" s="20" t="n">
        <v>906</v>
      </c>
      <c r="B91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16" s="21">
        <f>B916*$B$7</f>
        <v/>
      </c>
    </row>
    <row r="917">
      <c r="A917" s="20" t="n">
        <v>907</v>
      </c>
      <c r="B91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17" s="21">
        <f>B917*$B$7</f>
        <v/>
      </c>
    </row>
    <row r="918">
      <c r="A918" s="20" t="n">
        <v>908</v>
      </c>
      <c r="B91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18" s="21">
        <f>B918*$B$7</f>
        <v/>
      </c>
    </row>
    <row r="919">
      <c r="A919" s="20" t="n">
        <v>909</v>
      </c>
      <c r="B91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19" s="21">
        <f>B919*$B$7</f>
        <v/>
      </c>
    </row>
    <row r="920">
      <c r="A920" s="20" t="n">
        <v>910</v>
      </c>
      <c r="B92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20" s="21">
        <f>B920*$B$7</f>
        <v/>
      </c>
    </row>
    <row r="921">
      <c r="A921" s="20" t="n">
        <v>911</v>
      </c>
      <c r="B92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21" s="21">
        <f>B921*$B$7</f>
        <v/>
      </c>
    </row>
    <row r="922">
      <c r="A922" s="20" t="n">
        <v>912</v>
      </c>
      <c r="B92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22" s="21">
        <f>B922*$B$7</f>
        <v/>
      </c>
    </row>
    <row r="923">
      <c r="A923" s="20" t="n">
        <v>913</v>
      </c>
      <c r="B92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23" s="21">
        <f>B923*$B$7</f>
        <v/>
      </c>
    </row>
    <row r="924">
      <c r="A924" s="20" t="n">
        <v>914</v>
      </c>
      <c r="B92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24" s="21">
        <f>B924*$B$7</f>
        <v/>
      </c>
    </row>
    <row r="925">
      <c r="A925" s="20" t="n">
        <v>915</v>
      </c>
      <c r="B92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25" s="21">
        <f>B925*$B$7</f>
        <v/>
      </c>
    </row>
    <row r="926">
      <c r="A926" s="20" t="n">
        <v>916</v>
      </c>
      <c r="B92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26" s="21">
        <f>B926*$B$7</f>
        <v/>
      </c>
    </row>
    <row r="927">
      <c r="A927" s="20" t="n">
        <v>917</v>
      </c>
      <c r="B92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27" s="21">
        <f>B927*$B$7</f>
        <v/>
      </c>
    </row>
    <row r="928">
      <c r="A928" s="20" t="n">
        <v>918</v>
      </c>
      <c r="B92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28" s="21">
        <f>B928*$B$7</f>
        <v/>
      </c>
    </row>
    <row r="929">
      <c r="A929" s="20" t="n">
        <v>919</v>
      </c>
      <c r="B92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29" s="21">
        <f>B929*$B$7</f>
        <v/>
      </c>
    </row>
    <row r="930">
      <c r="A930" s="20" t="n">
        <v>920</v>
      </c>
      <c r="B93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30" s="21">
        <f>B930*$B$7</f>
        <v/>
      </c>
    </row>
    <row r="931">
      <c r="A931" s="20" t="n">
        <v>921</v>
      </c>
      <c r="B93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31" s="21">
        <f>B931*$B$7</f>
        <v/>
      </c>
    </row>
    <row r="932">
      <c r="A932" s="20" t="n">
        <v>922</v>
      </c>
      <c r="B93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32" s="21">
        <f>B932*$B$7</f>
        <v/>
      </c>
    </row>
    <row r="933">
      <c r="A933" s="20" t="n">
        <v>923</v>
      </c>
      <c r="B93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33" s="21">
        <f>B933*$B$7</f>
        <v/>
      </c>
    </row>
    <row r="934">
      <c r="A934" s="20" t="n">
        <v>924</v>
      </c>
      <c r="B93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34" s="21">
        <f>B934*$B$7</f>
        <v/>
      </c>
    </row>
    <row r="935">
      <c r="A935" s="20" t="n">
        <v>925</v>
      </c>
      <c r="B93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35" s="21">
        <f>B935*$B$7</f>
        <v/>
      </c>
    </row>
    <row r="936">
      <c r="A936" s="20" t="n">
        <v>926</v>
      </c>
      <c r="B93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36" s="21">
        <f>B936*$B$7</f>
        <v/>
      </c>
    </row>
    <row r="937">
      <c r="A937" s="20" t="n">
        <v>927</v>
      </c>
      <c r="B93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37" s="21">
        <f>B937*$B$7</f>
        <v/>
      </c>
    </row>
    <row r="938">
      <c r="A938" s="20" t="n">
        <v>928</v>
      </c>
      <c r="B93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38" s="21">
        <f>B938*$B$7</f>
        <v/>
      </c>
    </row>
    <row r="939">
      <c r="A939" s="20" t="n">
        <v>929</v>
      </c>
      <c r="B93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39" s="21">
        <f>B939*$B$7</f>
        <v/>
      </c>
    </row>
    <row r="940">
      <c r="A940" s="20" t="n">
        <v>930</v>
      </c>
      <c r="B94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40" s="21">
        <f>B940*$B$7</f>
        <v/>
      </c>
    </row>
    <row r="941">
      <c r="A941" s="20" t="n">
        <v>931</v>
      </c>
      <c r="B94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41" s="21">
        <f>B941*$B$7</f>
        <v/>
      </c>
    </row>
    <row r="942">
      <c r="A942" s="20" t="n">
        <v>932</v>
      </c>
      <c r="B94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42" s="21">
        <f>B942*$B$7</f>
        <v/>
      </c>
    </row>
    <row r="943">
      <c r="A943" s="20" t="n">
        <v>933</v>
      </c>
      <c r="B94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43" s="21">
        <f>B943*$B$7</f>
        <v/>
      </c>
    </row>
    <row r="944">
      <c r="A944" s="20" t="n">
        <v>934</v>
      </c>
      <c r="B94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44" s="21">
        <f>B944*$B$7</f>
        <v/>
      </c>
    </row>
    <row r="945">
      <c r="A945" s="20" t="n">
        <v>935</v>
      </c>
      <c r="B94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45" s="21">
        <f>B945*$B$7</f>
        <v/>
      </c>
    </row>
    <row r="946">
      <c r="A946" s="20" t="n">
        <v>936</v>
      </c>
      <c r="B94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46" s="21">
        <f>B946*$B$7</f>
        <v/>
      </c>
    </row>
    <row r="947">
      <c r="A947" s="20" t="n">
        <v>937</v>
      </c>
      <c r="B94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47" s="21">
        <f>B947*$B$7</f>
        <v/>
      </c>
    </row>
    <row r="948">
      <c r="A948" s="20" t="n">
        <v>938</v>
      </c>
      <c r="B94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48" s="21">
        <f>B948*$B$7</f>
        <v/>
      </c>
    </row>
    <row r="949">
      <c r="A949" s="20" t="n">
        <v>939</v>
      </c>
      <c r="B94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49" s="21">
        <f>B949*$B$7</f>
        <v/>
      </c>
    </row>
    <row r="950">
      <c r="A950" s="20" t="n">
        <v>940</v>
      </c>
      <c r="B95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50" s="21">
        <f>B950*$B$7</f>
        <v/>
      </c>
    </row>
    <row r="951">
      <c r="A951" s="20" t="n">
        <v>941</v>
      </c>
      <c r="B95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51" s="21">
        <f>B951*$B$7</f>
        <v/>
      </c>
    </row>
    <row r="952">
      <c r="A952" s="20" t="n">
        <v>942</v>
      </c>
      <c r="B95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52" s="21">
        <f>B952*$B$7</f>
        <v/>
      </c>
    </row>
    <row r="953">
      <c r="A953" s="20" t="n">
        <v>943</v>
      </c>
      <c r="B95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53" s="21">
        <f>B953*$B$7</f>
        <v/>
      </c>
    </row>
    <row r="954">
      <c r="A954" s="20" t="n">
        <v>944</v>
      </c>
      <c r="B95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54" s="21">
        <f>B954*$B$7</f>
        <v/>
      </c>
    </row>
    <row r="955">
      <c r="A955" s="20" t="n">
        <v>945</v>
      </c>
      <c r="B95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55" s="21">
        <f>B955*$B$7</f>
        <v/>
      </c>
    </row>
    <row r="956">
      <c r="A956" s="20" t="n">
        <v>946</v>
      </c>
      <c r="B95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56" s="21">
        <f>B956*$B$7</f>
        <v/>
      </c>
    </row>
    <row r="957">
      <c r="A957" s="20" t="n">
        <v>947</v>
      </c>
      <c r="B95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57" s="21">
        <f>B957*$B$7</f>
        <v/>
      </c>
    </row>
    <row r="958">
      <c r="A958" s="20" t="n">
        <v>948</v>
      </c>
      <c r="B95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58" s="21">
        <f>B958*$B$7</f>
        <v/>
      </c>
    </row>
    <row r="959">
      <c r="A959" s="20" t="n">
        <v>949</v>
      </c>
      <c r="B95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59" s="21">
        <f>B959*$B$7</f>
        <v/>
      </c>
    </row>
    <row r="960">
      <c r="A960" s="20" t="n">
        <v>950</v>
      </c>
      <c r="B96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60" s="21">
        <f>B960*$B$7</f>
        <v/>
      </c>
    </row>
    <row r="961">
      <c r="A961" s="20" t="n">
        <v>951</v>
      </c>
      <c r="B96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61" s="21">
        <f>B961*$B$7</f>
        <v/>
      </c>
    </row>
    <row r="962">
      <c r="A962" s="20" t="n">
        <v>952</v>
      </c>
      <c r="B96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62" s="21">
        <f>B962*$B$7</f>
        <v/>
      </c>
    </row>
    <row r="963">
      <c r="A963" s="20" t="n">
        <v>953</v>
      </c>
      <c r="B96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63" s="21">
        <f>B963*$B$7</f>
        <v/>
      </c>
    </row>
    <row r="964">
      <c r="A964" s="20" t="n">
        <v>954</v>
      </c>
      <c r="B96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64" s="21">
        <f>B964*$B$7</f>
        <v/>
      </c>
    </row>
    <row r="965">
      <c r="A965" s="20" t="n">
        <v>955</v>
      </c>
      <c r="B96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65" s="21">
        <f>B965*$B$7</f>
        <v/>
      </c>
    </row>
    <row r="966">
      <c r="A966" s="20" t="n">
        <v>956</v>
      </c>
      <c r="B96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66" s="21">
        <f>B966*$B$7</f>
        <v/>
      </c>
    </row>
    <row r="967">
      <c r="A967" s="20" t="n">
        <v>957</v>
      </c>
      <c r="B96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67" s="21">
        <f>B967*$B$7</f>
        <v/>
      </c>
    </row>
    <row r="968">
      <c r="A968" s="20" t="n">
        <v>958</v>
      </c>
      <c r="B96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68" s="21">
        <f>B968*$B$7</f>
        <v/>
      </c>
    </row>
    <row r="969">
      <c r="A969" s="20" t="n">
        <v>959</v>
      </c>
      <c r="B96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69" s="21">
        <f>B969*$B$7</f>
        <v/>
      </c>
    </row>
    <row r="970">
      <c r="A970" s="20" t="n">
        <v>960</v>
      </c>
      <c r="B97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70" s="21">
        <f>B970*$B$7</f>
        <v/>
      </c>
    </row>
    <row r="971">
      <c r="A971" s="20" t="n">
        <v>961</v>
      </c>
      <c r="B97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71" s="21">
        <f>B971*$B$7</f>
        <v/>
      </c>
    </row>
    <row r="972">
      <c r="A972" s="20" t="n">
        <v>962</v>
      </c>
      <c r="B97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72" s="21">
        <f>B972*$B$7</f>
        <v/>
      </c>
    </row>
    <row r="973">
      <c r="A973" s="20" t="n">
        <v>963</v>
      </c>
      <c r="B97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73" s="21">
        <f>B973*$B$7</f>
        <v/>
      </c>
    </row>
    <row r="974">
      <c r="A974" s="20" t="n">
        <v>964</v>
      </c>
      <c r="B97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74" s="21">
        <f>B974*$B$7</f>
        <v/>
      </c>
    </row>
    <row r="975">
      <c r="A975" s="20" t="n">
        <v>965</v>
      </c>
      <c r="B97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75" s="21">
        <f>B975*$B$7</f>
        <v/>
      </c>
    </row>
    <row r="976">
      <c r="A976" s="20" t="n">
        <v>966</v>
      </c>
      <c r="B97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76" s="21">
        <f>B976*$B$7</f>
        <v/>
      </c>
    </row>
    <row r="977">
      <c r="A977" s="20" t="n">
        <v>967</v>
      </c>
      <c r="B97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77" s="21">
        <f>B977*$B$7</f>
        <v/>
      </c>
    </row>
    <row r="978">
      <c r="A978" s="20" t="n">
        <v>968</v>
      </c>
      <c r="B97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78" s="21">
        <f>B978*$B$7</f>
        <v/>
      </c>
    </row>
    <row r="979">
      <c r="A979" s="20" t="n">
        <v>969</v>
      </c>
      <c r="B97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79" s="21">
        <f>B979*$B$7</f>
        <v/>
      </c>
    </row>
    <row r="980">
      <c r="A980" s="20" t="n">
        <v>970</v>
      </c>
      <c r="B98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80" s="21">
        <f>B980*$B$7</f>
        <v/>
      </c>
    </row>
    <row r="981">
      <c r="A981" s="20" t="n">
        <v>971</v>
      </c>
      <c r="B98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81" s="21">
        <f>B981*$B$7</f>
        <v/>
      </c>
    </row>
    <row r="982">
      <c r="A982" s="20" t="n">
        <v>972</v>
      </c>
      <c r="B98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82" s="21">
        <f>B982*$B$7</f>
        <v/>
      </c>
    </row>
    <row r="983">
      <c r="A983" s="20" t="n">
        <v>973</v>
      </c>
      <c r="B98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83" s="21">
        <f>B983*$B$7</f>
        <v/>
      </c>
    </row>
    <row r="984">
      <c r="A984" s="20" t="n">
        <v>974</v>
      </c>
      <c r="B98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84" s="21">
        <f>B984*$B$7</f>
        <v/>
      </c>
    </row>
    <row r="985">
      <c r="A985" s="20" t="n">
        <v>975</v>
      </c>
      <c r="B98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85" s="21">
        <f>B985*$B$7</f>
        <v/>
      </c>
    </row>
    <row r="986">
      <c r="A986" s="20" t="n">
        <v>976</v>
      </c>
      <c r="B98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86" s="21">
        <f>B986*$B$7</f>
        <v/>
      </c>
    </row>
    <row r="987">
      <c r="A987" s="20" t="n">
        <v>977</v>
      </c>
      <c r="B98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87" s="21">
        <f>B987*$B$7</f>
        <v/>
      </c>
    </row>
    <row r="988">
      <c r="A988" s="20" t="n">
        <v>978</v>
      </c>
      <c r="B98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88" s="21">
        <f>B988*$B$7</f>
        <v/>
      </c>
    </row>
    <row r="989">
      <c r="A989" s="20" t="n">
        <v>979</v>
      </c>
      <c r="B98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89" s="21">
        <f>B989*$B$7</f>
        <v/>
      </c>
    </row>
    <row r="990">
      <c r="A990" s="20" t="n">
        <v>980</v>
      </c>
      <c r="B99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90" s="21">
        <f>B990*$B$7</f>
        <v/>
      </c>
    </row>
    <row r="991">
      <c r="A991" s="20" t="n">
        <v>981</v>
      </c>
      <c r="B99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91" s="21">
        <f>B991*$B$7</f>
        <v/>
      </c>
    </row>
    <row r="992">
      <c r="A992" s="20" t="n">
        <v>982</v>
      </c>
      <c r="B99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92" s="21">
        <f>B992*$B$7</f>
        <v/>
      </c>
    </row>
    <row r="993">
      <c r="A993" s="20" t="n">
        <v>983</v>
      </c>
      <c r="B99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93" s="21">
        <f>B993*$B$7</f>
        <v/>
      </c>
    </row>
    <row r="994">
      <c r="A994" s="20" t="n">
        <v>984</v>
      </c>
      <c r="B99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94" s="21">
        <f>B994*$B$7</f>
        <v/>
      </c>
    </row>
    <row r="995">
      <c r="A995" s="20" t="n">
        <v>985</v>
      </c>
      <c r="B99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95" s="21">
        <f>B995*$B$7</f>
        <v/>
      </c>
    </row>
    <row r="996">
      <c r="A996" s="20" t="n">
        <v>986</v>
      </c>
      <c r="B99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96" s="21">
        <f>B996*$B$7</f>
        <v/>
      </c>
    </row>
    <row r="997">
      <c r="A997" s="20" t="n">
        <v>987</v>
      </c>
      <c r="B99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97" s="21">
        <f>B997*$B$7</f>
        <v/>
      </c>
    </row>
    <row r="998">
      <c r="A998" s="20" t="n">
        <v>988</v>
      </c>
      <c r="B99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98" s="21">
        <f>B998*$B$7</f>
        <v/>
      </c>
    </row>
    <row r="999">
      <c r="A999" s="20" t="n">
        <v>989</v>
      </c>
      <c r="B99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999" s="21">
        <f>B999*$B$7</f>
        <v/>
      </c>
    </row>
    <row r="1000">
      <c r="A1000" s="20" t="n">
        <v>990</v>
      </c>
      <c r="B100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000" s="21">
        <f>B1000*$B$7</f>
        <v/>
      </c>
    </row>
    <row r="1001">
      <c r="A1001" s="20" t="n">
        <v>991</v>
      </c>
      <c r="B1001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001" s="21">
        <f>B1001*$B$7</f>
        <v/>
      </c>
    </row>
    <row r="1002">
      <c r="A1002" s="20" t="n">
        <v>992</v>
      </c>
      <c r="B1002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002" s="21">
        <f>B1002*$B$7</f>
        <v/>
      </c>
    </row>
    <row r="1003">
      <c r="A1003" s="20" t="n">
        <v>993</v>
      </c>
      <c r="B1003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003" s="21">
        <f>B1003*$B$7</f>
        <v/>
      </c>
    </row>
    <row r="1004">
      <c r="A1004" s="20" t="n">
        <v>994</v>
      </c>
      <c r="B1004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004" s="21">
        <f>B1004*$B$7</f>
        <v/>
      </c>
    </row>
    <row r="1005">
      <c r="A1005" s="20" t="n">
        <v>995</v>
      </c>
      <c r="B1005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005" s="21">
        <f>B1005*$B$7</f>
        <v/>
      </c>
    </row>
    <row r="1006">
      <c r="A1006" s="20" t="n">
        <v>996</v>
      </c>
      <c r="B1006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006" s="21">
        <f>B1006*$B$7</f>
        <v/>
      </c>
    </row>
    <row r="1007">
      <c r="A1007" s="20" t="n">
        <v>997</v>
      </c>
      <c r="B1007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007" s="21">
        <f>B1007*$B$7</f>
        <v/>
      </c>
    </row>
    <row r="1008">
      <c r="A1008" s="20" t="n">
        <v>998</v>
      </c>
      <c r="B1008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008" s="21">
        <f>B1008*$B$7</f>
        <v/>
      </c>
    </row>
    <row r="1009">
      <c r="A1009" s="20" t="n">
        <v>999</v>
      </c>
      <c r="B1009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009" s="21">
        <f>B1009*$B$7</f>
        <v/>
      </c>
    </row>
    <row r="1010">
      <c r="A1010" s="20" t="n">
        <v>1000</v>
      </c>
      <c r="B1010" s="21">
        <f>AVERAGE(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,INDEX($H$6:$H$71,RANDBETWEEN(1,$B$7)))</f>
        <v/>
      </c>
      <c r="C1010" s="21">
        <f>B1010*$B$7</f>
        <v/>
      </c>
    </row>
  </sheetData>
  <mergeCells count="3">
    <mergeCell ref="A2:F2"/>
    <mergeCell ref="A6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0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3" max="3"/>
    <col width="7" customWidth="1" min="5" max="5"/>
    <col width="11" customWidth="1" min="6" max="6"/>
    <col width="11" customWidth="1" min="7" max="7"/>
    <col width="10" customWidth="1" min="8" max="8"/>
    <col width="11" customWidth="1" min="9" max="9"/>
    <col width="14" customWidth="1" min="10" max="10"/>
    <col width="13" customWidth="1" min="11" max="11"/>
    <col width="12" customWidth="1" min="12" max="12"/>
    <col width="14" customWidth="1" min="13" max="13"/>
  </cols>
  <sheetData>
    <row r="1" ht="30" customHeight="1">
      <c r="A1" s="1" t="inlineStr">
        <is>
          <t>flydubai  |  PayGuard AI</t>
        </is>
      </c>
    </row>
    <row r="2" ht="22" customHeight="1">
      <c r="A2" s="2" t="inlineStr">
        <is>
          <t>Monte Carlo — Working-Capital Benefit of Extending DPO</t>
        </is>
      </c>
    </row>
    <row r="4">
      <c r="A4" s="5" t="inlineStr">
        <is>
          <t>Net benefit = (Spend × ΔDPO/365) × cost of capital − discount eroded − friction cost.</t>
        </is>
      </c>
    </row>
    <row r="6">
      <c r="A6" s="26" t="inlineStr">
        <is>
          <t>ASSUMPTIONS (editable)</t>
        </is>
      </c>
      <c r="B6" s="27" t="n"/>
      <c r="C6" s="28" t="n"/>
      <c r="E6" s="26" t="inlineStr">
        <is>
          <t>SIMULATION (F9 to redraw)</t>
        </is>
      </c>
      <c r="F6" s="27" t="n"/>
      <c r="G6" s="27" t="n"/>
      <c r="H6" s="27" t="n"/>
      <c r="I6" s="27" t="n"/>
      <c r="J6" s="27" t="n"/>
      <c r="K6" s="28" t="n"/>
    </row>
    <row r="7">
      <c r="A7" s="7" t="inlineStr">
        <is>
          <t>Annual spend proxy (USD)</t>
        </is>
      </c>
      <c r="C7" s="29" t="n">
        <v>38782655.49782348</v>
      </c>
    </row>
    <row r="8">
      <c r="A8" s="14" t="inlineStr">
        <is>
          <t>DPO extension Δ (days)</t>
        </is>
      </c>
      <c r="C8" s="30" t="n">
        <v>20</v>
      </c>
      <c r="E8" s="17" t="inlineStr">
        <is>
          <t>Sim #</t>
        </is>
      </c>
      <c r="F8" s="17" t="inlineStr">
        <is>
          <t>Cost of cap.</t>
        </is>
      </c>
      <c r="G8" s="17" t="inlineStr">
        <is>
          <t>Disc. capture</t>
        </is>
      </c>
      <c r="H8" s="17" t="inlineStr">
        <is>
          <t>Erosion</t>
        </is>
      </c>
      <c r="I8" s="17" t="inlineStr">
        <is>
          <t>Friction prob.</t>
        </is>
      </c>
      <c r="J8" s="17" t="inlineStr">
        <is>
          <t>Capital benefit</t>
        </is>
      </c>
      <c r="K8" s="17" t="inlineStr">
        <is>
          <t>Discount lost</t>
        </is>
      </c>
      <c r="L8" s="17" t="inlineStr">
        <is>
          <t>Friction cost</t>
        </is>
      </c>
      <c r="M8" s="17" t="inlineStr">
        <is>
          <t>Net benefit</t>
        </is>
      </c>
    </row>
    <row r="9">
      <c r="A9" s="14" t="inlineStr">
        <is>
          <t>Cost of capital — mean</t>
        </is>
      </c>
      <c r="C9" s="31" t="n">
        <v>0.09</v>
      </c>
      <c r="E9" s="20" t="n">
        <v>1</v>
      </c>
      <c r="F9" s="32">
        <f>MAX(0.03,MIN(0.18,NORMINV(RAND(),$C$9,$C$10)))</f>
        <v/>
      </c>
      <c r="G9" s="32">
        <f>MAX(0.02,MIN(0.9,NORMINV(RAND(),$C$11,0.10)))</f>
        <v/>
      </c>
      <c r="H9" s="32">
        <f>MAX(0.02,MIN(0.98,NORMINV(RAND(),$C$13,0.15)))</f>
        <v/>
      </c>
      <c r="I9" s="32">
        <f>MAX(0,NORMINV(RAND(),$C$14,0.033))</f>
        <v/>
      </c>
      <c r="J9" s="33">
        <f>($C$7*$C$8/365)*F9</f>
        <v/>
      </c>
      <c r="K9" s="33">
        <f>$C$7*G9*$C$12*H9</f>
        <v/>
      </c>
      <c r="L9" s="33">
        <f>$C$7*I9*$C$15</f>
        <v/>
      </c>
      <c r="M9" s="33">
        <f>J9-K9-L9</f>
        <v/>
      </c>
    </row>
    <row r="10">
      <c r="A10" s="14" t="inlineStr">
        <is>
          <t>Cost of capital — std dev</t>
        </is>
      </c>
      <c r="C10" s="31" t="n">
        <v>0.015</v>
      </c>
      <c r="E10" s="20" t="n">
        <v>2</v>
      </c>
      <c r="F10" s="32">
        <f>MAX(0.03,MIN(0.18,NORMINV(RAND(),$C$9,$C$10)))</f>
        <v/>
      </c>
      <c r="G10" s="32">
        <f>MAX(0.02,MIN(0.9,NORMINV(RAND(),$C$11,0.10)))</f>
        <v/>
      </c>
      <c r="H10" s="32">
        <f>MAX(0.02,MIN(0.98,NORMINV(RAND(),$C$13,0.15)))</f>
        <v/>
      </c>
      <c r="I10" s="32">
        <f>MAX(0,NORMINV(RAND(),$C$14,0.033))</f>
        <v/>
      </c>
      <c r="J10" s="33">
        <f>($C$7*$C$8/365)*F10</f>
        <v/>
      </c>
      <c r="K10" s="33">
        <f>$C$7*G10*$C$12*H10</f>
        <v/>
      </c>
      <c r="L10" s="33">
        <f>$C$7*I10*$C$15</f>
        <v/>
      </c>
      <c r="M10" s="33">
        <f>J10-K10-L10</f>
        <v/>
      </c>
    </row>
    <row r="11">
      <c r="A11" s="14" t="inlineStr">
        <is>
          <t>Discount-capture share (mean)</t>
        </is>
      </c>
      <c r="C11" s="31" t="n">
        <v>0.3</v>
      </c>
      <c r="E11" s="20" t="n">
        <v>3</v>
      </c>
      <c r="F11" s="32">
        <f>MAX(0.03,MIN(0.18,NORMINV(RAND(),$C$9,$C$10)))</f>
        <v/>
      </c>
      <c r="G11" s="32">
        <f>MAX(0.02,MIN(0.9,NORMINV(RAND(),$C$11,0.10)))</f>
        <v/>
      </c>
      <c r="H11" s="32">
        <f>MAX(0.02,MIN(0.98,NORMINV(RAND(),$C$13,0.15)))</f>
        <v/>
      </c>
      <c r="I11" s="32">
        <f>MAX(0,NORMINV(RAND(),$C$14,0.033))</f>
        <v/>
      </c>
      <c r="J11" s="33">
        <f>($C$7*$C$8/365)*F11</f>
        <v/>
      </c>
      <c r="K11" s="33">
        <f>$C$7*G11*$C$12*H11</f>
        <v/>
      </c>
      <c r="L11" s="33">
        <f>$C$7*I11*$C$15</f>
        <v/>
      </c>
      <c r="M11" s="33">
        <f>J11-K11-L11</f>
        <v/>
      </c>
    </row>
    <row r="12">
      <c r="A12" s="14" t="inlineStr">
        <is>
          <t>Early-payment discount rate</t>
        </is>
      </c>
      <c r="C12" s="31" t="n">
        <v>0.02</v>
      </c>
      <c r="E12" s="20" t="n">
        <v>4</v>
      </c>
      <c r="F12" s="32">
        <f>MAX(0.03,MIN(0.18,NORMINV(RAND(),$C$9,$C$10)))</f>
        <v/>
      </c>
      <c r="G12" s="32">
        <f>MAX(0.02,MIN(0.9,NORMINV(RAND(),$C$11,0.10)))</f>
        <v/>
      </c>
      <c r="H12" s="32">
        <f>MAX(0.02,MIN(0.98,NORMINV(RAND(),$C$13,0.15)))</f>
        <v/>
      </c>
      <c r="I12" s="32">
        <f>MAX(0,NORMINV(RAND(),$C$14,0.033))</f>
        <v/>
      </c>
      <c r="J12" s="33">
        <f>($C$7*$C$8/365)*F12</f>
        <v/>
      </c>
      <c r="K12" s="33">
        <f>$C$7*G12*$C$12*H12</f>
        <v/>
      </c>
      <c r="L12" s="33">
        <f>$C$7*I12*$C$15</f>
        <v/>
      </c>
      <c r="M12" s="33">
        <f>J12-K12-L12</f>
        <v/>
      </c>
    </row>
    <row r="13">
      <c r="A13" s="14" t="inlineStr">
        <is>
          <t>Discount erosion fraction (mean)</t>
        </is>
      </c>
      <c r="C13" s="31" t="n">
        <v>0.4</v>
      </c>
      <c r="E13" s="20" t="n">
        <v>5</v>
      </c>
      <c r="F13" s="32">
        <f>MAX(0.03,MIN(0.18,NORMINV(RAND(),$C$9,$C$10)))</f>
        <v/>
      </c>
      <c r="G13" s="32">
        <f>MAX(0.02,MIN(0.9,NORMINV(RAND(),$C$11,0.10)))</f>
        <v/>
      </c>
      <c r="H13" s="32">
        <f>MAX(0.02,MIN(0.98,NORMINV(RAND(),$C$13,0.15)))</f>
        <v/>
      </c>
      <c r="I13" s="32">
        <f>MAX(0,NORMINV(RAND(),$C$14,0.033))</f>
        <v/>
      </c>
      <c r="J13" s="33">
        <f>($C$7*$C$8/365)*F13</f>
        <v/>
      </c>
      <c r="K13" s="33">
        <f>$C$7*G13*$C$12*H13</f>
        <v/>
      </c>
      <c r="L13" s="33">
        <f>$C$7*I13*$C$15</f>
        <v/>
      </c>
      <c r="M13" s="33">
        <f>J13-K13-L13</f>
        <v/>
      </c>
    </row>
    <row r="14">
      <c r="A14" s="14" t="inlineStr">
        <is>
          <t>Late-friction probability (mean)</t>
        </is>
      </c>
      <c r="C14" s="31" t="n">
        <v>0.05</v>
      </c>
      <c r="E14" s="20" t="n">
        <v>6</v>
      </c>
      <c r="F14" s="32">
        <f>MAX(0.03,MIN(0.18,NORMINV(RAND(),$C$9,$C$10)))</f>
        <v/>
      </c>
      <c r="G14" s="32">
        <f>MAX(0.02,MIN(0.9,NORMINV(RAND(),$C$11,0.10)))</f>
        <v/>
      </c>
      <c r="H14" s="32">
        <f>MAX(0.02,MIN(0.98,NORMINV(RAND(),$C$13,0.15)))</f>
        <v/>
      </c>
      <c r="I14" s="32">
        <f>MAX(0,NORMINV(RAND(),$C$14,0.033))</f>
        <v/>
      </c>
      <c r="J14" s="33">
        <f>($C$7*$C$8/365)*F14</f>
        <v/>
      </c>
      <c r="K14" s="33">
        <f>$C$7*G14*$C$12*H14</f>
        <v/>
      </c>
      <c r="L14" s="33">
        <f>$C$7*I14*$C$15</f>
        <v/>
      </c>
      <c r="M14" s="33">
        <f>J14-K14-L14</f>
        <v/>
      </c>
    </row>
    <row r="15">
      <c r="A15" s="14" t="inlineStr">
        <is>
          <t>Late-friction cost %</t>
        </is>
      </c>
      <c r="C15" s="31" t="n">
        <v>0.015</v>
      </c>
      <c r="E15" s="20" t="n">
        <v>7</v>
      </c>
      <c r="F15" s="32">
        <f>MAX(0.03,MIN(0.18,NORMINV(RAND(),$C$9,$C$10)))</f>
        <v/>
      </c>
      <c r="G15" s="32">
        <f>MAX(0.02,MIN(0.9,NORMINV(RAND(),$C$11,0.10)))</f>
        <v/>
      </c>
      <c r="H15" s="32">
        <f>MAX(0.02,MIN(0.98,NORMINV(RAND(),$C$13,0.15)))</f>
        <v/>
      </c>
      <c r="I15" s="32">
        <f>MAX(0,NORMINV(RAND(),$C$14,0.033))</f>
        <v/>
      </c>
      <c r="J15" s="33">
        <f>($C$7*$C$8/365)*F15</f>
        <v/>
      </c>
      <c r="K15" s="33">
        <f>$C$7*G15*$C$12*H15</f>
        <v/>
      </c>
      <c r="L15" s="33">
        <f>$C$7*I15*$C$15</f>
        <v/>
      </c>
      <c r="M15" s="33">
        <f>J15-K15-L15</f>
        <v/>
      </c>
    </row>
    <row r="16">
      <c r="A16" s="14" t="inlineStr">
        <is>
          <t>Simulations (N)</t>
        </is>
      </c>
      <c r="C16" s="30" t="n">
        <v>1000</v>
      </c>
      <c r="E16" s="20" t="n">
        <v>8</v>
      </c>
      <c r="F16" s="32">
        <f>MAX(0.03,MIN(0.18,NORMINV(RAND(),$C$9,$C$10)))</f>
        <v/>
      </c>
      <c r="G16" s="32">
        <f>MAX(0.02,MIN(0.9,NORMINV(RAND(),$C$11,0.10)))</f>
        <v/>
      </c>
      <c r="H16" s="32">
        <f>MAX(0.02,MIN(0.98,NORMINV(RAND(),$C$13,0.15)))</f>
        <v/>
      </c>
      <c r="I16" s="32">
        <f>MAX(0,NORMINV(RAND(),$C$14,0.033))</f>
        <v/>
      </c>
      <c r="J16" s="33">
        <f>($C$7*$C$8/365)*F16</f>
        <v/>
      </c>
      <c r="K16" s="33">
        <f>$C$7*G16*$C$12*H16</f>
        <v/>
      </c>
      <c r="L16" s="33">
        <f>$C$7*I16*$C$15</f>
        <v/>
      </c>
      <c r="M16" s="33">
        <f>J16-K16-L16</f>
        <v/>
      </c>
    </row>
    <row r="17">
      <c r="E17" s="20" t="n">
        <v>9</v>
      </c>
      <c r="F17" s="32">
        <f>MAX(0.03,MIN(0.18,NORMINV(RAND(),$C$9,$C$10)))</f>
        <v/>
      </c>
      <c r="G17" s="32">
        <f>MAX(0.02,MIN(0.9,NORMINV(RAND(),$C$11,0.10)))</f>
        <v/>
      </c>
      <c r="H17" s="32">
        <f>MAX(0.02,MIN(0.98,NORMINV(RAND(),$C$13,0.15)))</f>
        <v/>
      </c>
      <c r="I17" s="32">
        <f>MAX(0,NORMINV(RAND(),$C$14,0.033))</f>
        <v/>
      </c>
      <c r="J17" s="33">
        <f>($C$7*$C$8/365)*F17</f>
        <v/>
      </c>
      <c r="K17" s="33">
        <f>$C$7*G17*$C$12*H17</f>
        <v/>
      </c>
      <c r="L17" s="33">
        <f>$C$7*I17*$C$15</f>
        <v/>
      </c>
      <c r="M17" s="33">
        <f>J17-K17-L17</f>
        <v/>
      </c>
    </row>
    <row r="18">
      <c r="E18" s="20" t="n">
        <v>10</v>
      </c>
      <c r="F18" s="32">
        <f>MAX(0.03,MIN(0.18,NORMINV(RAND(),$C$9,$C$10)))</f>
        <v/>
      </c>
      <c r="G18" s="32">
        <f>MAX(0.02,MIN(0.9,NORMINV(RAND(),$C$11,0.10)))</f>
        <v/>
      </c>
      <c r="H18" s="32">
        <f>MAX(0.02,MIN(0.98,NORMINV(RAND(),$C$13,0.15)))</f>
        <v/>
      </c>
      <c r="I18" s="32">
        <f>MAX(0,NORMINV(RAND(),$C$14,0.033))</f>
        <v/>
      </c>
      <c r="J18" s="33">
        <f>($C$7*$C$8/365)*F18</f>
        <v/>
      </c>
      <c r="K18" s="33">
        <f>$C$7*G18*$C$12*H18</f>
        <v/>
      </c>
      <c r="L18" s="33">
        <f>$C$7*I18*$C$15</f>
        <v/>
      </c>
      <c r="M18" s="33">
        <f>J18-K18-L18</f>
        <v/>
      </c>
    </row>
    <row r="19">
      <c r="A19" s="34" t="inlineStr">
        <is>
          <t>RESULTS</t>
        </is>
      </c>
      <c r="B19" s="27" t="n"/>
      <c r="C19" s="28" t="n"/>
      <c r="E19" s="20" t="n">
        <v>11</v>
      </c>
      <c r="F19" s="32">
        <f>MAX(0.03,MIN(0.18,NORMINV(RAND(),$C$9,$C$10)))</f>
        <v/>
      </c>
      <c r="G19" s="32">
        <f>MAX(0.02,MIN(0.9,NORMINV(RAND(),$C$11,0.10)))</f>
        <v/>
      </c>
      <c r="H19" s="32">
        <f>MAX(0.02,MIN(0.98,NORMINV(RAND(),$C$13,0.15)))</f>
        <v/>
      </c>
      <c r="I19" s="32">
        <f>MAX(0,NORMINV(RAND(),$C$14,0.033))</f>
        <v/>
      </c>
      <c r="J19" s="33">
        <f>($C$7*$C$8/365)*F19</f>
        <v/>
      </c>
      <c r="K19" s="33">
        <f>$C$7*G19*$C$12*H19</f>
        <v/>
      </c>
      <c r="L19" s="33">
        <f>$C$7*I19*$C$15</f>
        <v/>
      </c>
      <c r="M19" s="33">
        <f>J19-K19-L19</f>
        <v/>
      </c>
    </row>
    <row r="20">
      <c r="A20" s="18" t="inlineStr">
        <is>
          <t>Mean net benefit</t>
        </is>
      </c>
      <c r="C20" s="19">
        <f>AVERAGE(M9:M1008)</f>
        <v/>
      </c>
      <c r="E20" s="20" t="n">
        <v>12</v>
      </c>
      <c r="F20" s="32">
        <f>MAX(0.03,MIN(0.18,NORMINV(RAND(),$C$9,$C$10)))</f>
        <v/>
      </c>
      <c r="G20" s="32">
        <f>MAX(0.02,MIN(0.9,NORMINV(RAND(),$C$11,0.10)))</f>
        <v/>
      </c>
      <c r="H20" s="32">
        <f>MAX(0.02,MIN(0.98,NORMINV(RAND(),$C$13,0.15)))</f>
        <v/>
      </c>
      <c r="I20" s="32">
        <f>MAX(0,NORMINV(RAND(),$C$14,0.033))</f>
        <v/>
      </c>
      <c r="J20" s="33">
        <f>($C$7*$C$8/365)*F20</f>
        <v/>
      </c>
      <c r="K20" s="33">
        <f>$C$7*G20*$C$12*H20</f>
        <v/>
      </c>
      <c r="L20" s="33">
        <f>$C$7*I20*$C$15</f>
        <v/>
      </c>
      <c r="M20" s="33">
        <f>J20-K20-L20</f>
        <v/>
      </c>
    </row>
    <row r="21">
      <c r="A21" s="7" t="inlineStr">
        <is>
          <t>P10</t>
        </is>
      </c>
      <c r="C21" s="22">
        <f>PERCENTILE(M9:M1008,0.10)</f>
        <v/>
      </c>
      <c r="E21" s="20" t="n">
        <v>13</v>
      </c>
      <c r="F21" s="32">
        <f>MAX(0.03,MIN(0.18,NORMINV(RAND(),$C$9,$C$10)))</f>
        <v/>
      </c>
      <c r="G21" s="32">
        <f>MAX(0.02,MIN(0.9,NORMINV(RAND(),$C$11,0.10)))</f>
        <v/>
      </c>
      <c r="H21" s="32">
        <f>MAX(0.02,MIN(0.98,NORMINV(RAND(),$C$13,0.15)))</f>
        <v/>
      </c>
      <c r="I21" s="32">
        <f>MAX(0,NORMINV(RAND(),$C$14,0.033))</f>
        <v/>
      </c>
      <c r="J21" s="33">
        <f>($C$7*$C$8/365)*F21</f>
        <v/>
      </c>
      <c r="K21" s="33">
        <f>$C$7*G21*$C$12*H21</f>
        <v/>
      </c>
      <c r="L21" s="33">
        <f>$C$7*I21*$C$15</f>
        <v/>
      </c>
      <c r="M21" s="33">
        <f>J21-K21-L21</f>
        <v/>
      </c>
    </row>
    <row r="22">
      <c r="A22" s="7" t="inlineStr">
        <is>
          <t>Median (P50)</t>
        </is>
      </c>
      <c r="C22" s="22">
        <f>MEDIAN(M9:M1008)</f>
        <v/>
      </c>
      <c r="E22" s="20" t="n">
        <v>14</v>
      </c>
      <c r="F22" s="32">
        <f>MAX(0.03,MIN(0.18,NORMINV(RAND(),$C$9,$C$10)))</f>
        <v/>
      </c>
      <c r="G22" s="32">
        <f>MAX(0.02,MIN(0.9,NORMINV(RAND(),$C$11,0.10)))</f>
        <v/>
      </c>
      <c r="H22" s="32">
        <f>MAX(0.02,MIN(0.98,NORMINV(RAND(),$C$13,0.15)))</f>
        <v/>
      </c>
      <c r="I22" s="32">
        <f>MAX(0,NORMINV(RAND(),$C$14,0.033))</f>
        <v/>
      </c>
      <c r="J22" s="33">
        <f>($C$7*$C$8/365)*F22</f>
        <v/>
      </c>
      <c r="K22" s="33">
        <f>$C$7*G22*$C$12*H22</f>
        <v/>
      </c>
      <c r="L22" s="33">
        <f>$C$7*I22*$C$15</f>
        <v/>
      </c>
      <c r="M22" s="33">
        <f>J22-K22-L22</f>
        <v/>
      </c>
    </row>
    <row r="23">
      <c r="A23" s="7" t="inlineStr">
        <is>
          <t>P90</t>
        </is>
      </c>
      <c r="C23" s="22">
        <f>PERCENTILE(M9:M1008,0.90)</f>
        <v/>
      </c>
      <c r="E23" s="20" t="n">
        <v>15</v>
      </c>
      <c r="F23" s="32">
        <f>MAX(0.03,MIN(0.18,NORMINV(RAND(),$C$9,$C$10)))</f>
        <v/>
      </c>
      <c r="G23" s="32">
        <f>MAX(0.02,MIN(0.9,NORMINV(RAND(),$C$11,0.10)))</f>
        <v/>
      </c>
      <c r="H23" s="32">
        <f>MAX(0.02,MIN(0.98,NORMINV(RAND(),$C$13,0.15)))</f>
        <v/>
      </c>
      <c r="I23" s="32">
        <f>MAX(0,NORMINV(RAND(),$C$14,0.033))</f>
        <v/>
      </c>
      <c r="J23" s="33">
        <f>($C$7*$C$8/365)*F23</f>
        <v/>
      </c>
      <c r="K23" s="33">
        <f>$C$7*G23*$C$12*H23</f>
        <v/>
      </c>
      <c r="L23" s="33">
        <f>$C$7*I23*$C$15</f>
        <v/>
      </c>
      <c r="M23" s="33">
        <f>J23-K23-L23</f>
        <v/>
      </c>
    </row>
    <row r="24">
      <c r="A24" s="18" t="inlineStr">
        <is>
          <t>P(net benefit &gt; 0)</t>
        </is>
      </c>
      <c r="C24" s="35">
        <f>COUNTIF(M9:M1008,"&gt;0")/COUNT(M9:M1008)</f>
        <v/>
      </c>
      <c r="E24" s="20" t="n">
        <v>16</v>
      </c>
      <c r="F24" s="32">
        <f>MAX(0.03,MIN(0.18,NORMINV(RAND(),$C$9,$C$10)))</f>
        <v/>
      </c>
      <c r="G24" s="32">
        <f>MAX(0.02,MIN(0.9,NORMINV(RAND(),$C$11,0.10)))</f>
        <v/>
      </c>
      <c r="H24" s="32">
        <f>MAX(0.02,MIN(0.98,NORMINV(RAND(),$C$13,0.15)))</f>
        <v/>
      </c>
      <c r="I24" s="32">
        <f>MAX(0,NORMINV(RAND(),$C$14,0.033))</f>
        <v/>
      </c>
      <c r="J24" s="33">
        <f>($C$7*$C$8/365)*F24</f>
        <v/>
      </c>
      <c r="K24" s="33">
        <f>$C$7*G24*$C$12*H24</f>
        <v/>
      </c>
      <c r="L24" s="33">
        <f>$C$7*I24*$C$15</f>
        <v/>
      </c>
      <c r="M24" s="33">
        <f>J24-K24-L24</f>
        <v/>
      </c>
    </row>
    <row r="25">
      <c r="E25" s="20" t="n">
        <v>17</v>
      </c>
      <c r="F25" s="32">
        <f>MAX(0.03,MIN(0.18,NORMINV(RAND(),$C$9,$C$10)))</f>
        <v/>
      </c>
      <c r="G25" s="32">
        <f>MAX(0.02,MIN(0.9,NORMINV(RAND(),$C$11,0.10)))</f>
        <v/>
      </c>
      <c r="H25" s="32">
        <f>MAX(0.02,MIN(0.98,NORMINV(RAND(),$C$13,0.15)))</f>
        <v/>
      </c>
      <c r="I25" s="32">
        <f>MAX(0,NORMINV(RAND(),$C$14,0.033))</f>
        <v/>
      </c>
      <c r="J25" s="33">
        <f>($C$7*$C$8/365)*F25</f>
        <v/>
      </c>
      <c r="K25" s="33">
        <f>$C$7*G25*$C$12*H25</f>
        <v/>
      </c>
      <c r="L25" s="33">
        <f>$C$7*I25*$C$15</f>
        <v/>
      </c>
      <c r="M25" s="33">
        <f>J25-K25-L25</f>
        <v/>
      </c>
    </row>
    <row r="26">
      <c r="A26" s="25" t="inlineStr">
        <is>
          <t>Scenario results should be regenerated from the current synthetic dataset and assumptions before reporting.</t>
        </is>
      </c>
      <c r="E26" s="20" t="n">
        <v>18</v>
      </c>
      <c r="F26" s="32">
        <f>MAX(0.03,MIN(0.18,NORMINV(RAND(),$C$9,$C$10)))</f>
        <v/>
      </c>
      <c r="G26" s="32">
        <f>MAX(0.02,MIN(0.9,NORMINV(RAND(),$C$11,0.10)))</f>
        <v/>
      </c>
      <c r="H26" s="32">
        <f>MAX(0.02,MIN(0.98,NORMINV(RAND(),$C$13,0.15)))</f>
        <v/>
      </c>
      <c r="I26" s="32">
        <f>MAX(0,NORMINV(RAND(),$C$14,0.033))</f>
        <v/>
      </c>
      <c r="J26" s="33">
        <f>($C$7*$C$8/365)*F26</f>
        <v/>
      </c>
      <c r="K26" s="33">
        <f>$C$7*G26*$C$12*H26</f>
        <v/>
      </c>
      <c r="L26" s="33">
        <f>$C$7*I26*$C$15</f>
        <v/>
      </c>
      <c r="M26" s="33">
        <f>J26-K26-L26</f>
        <v/>
      </c>
    </row>
    <row r="27">
      <c r="E27" s="20" t="n">
        <v>19</v>
      </c>
      <c r="F27" s="32">
        <f>MAX(0.03,MIN(0.18,NORMINV(RAND(),$C$9,$C$10)))</f>
        <v/>
      </c>
      <c r="G27" s="32">
        <f>MAX(0.02,MIN(0.9,NORMINV(RAND(),$C$11,0.10)))</f>
        <v/>
      </c>
      <c r="H27" s="32">
        <f>MAX(0.02,MIN(0.98,NORMINV(RAND(),$C$13,0.15)))</f>
        <v/>
      </c>
      <c r="I27" s="32">
        <f>MAX(0,NORMINV(RAND(),$C$14,0.033))</f>
        <v/>
      </c>
      <c r="J27" s="33">
        <f>($C$7*$C$8/365)*F27</f>
        <v/>
      </c>
      <c r="K27" s="33">
        <f>$C$7*G27*$C$12*H27</f>
        <v/>
      </c>
      <c r="L27" s="33">
        <f>$C$7*I27*$C$15</f>
        <v/>
      </c>
      <c r="M27" s="33">
        <f>J27-K27-L27</f>
        <v/>
      </c>
    </row>
    <row r="28">
      <c r="E28" s="20" t="n">
        <v>20</v>
      </c>
      <c r="F28" s="32">
        <f>MAX(0.03,MIN(0.18,NORMINV(RAND(),$C$9,$C$10)))</f>
        <v/>
      </c>
      <c r="G28" s="32">
        <f>MAX(0.02,MIN(0.9,NORMINV(RAND(),$C$11,0.10)))</f>
        <v/>
      </c>
      <c r="H28" s="32">
        <f>MAX(0.02,MIN(0.98,NORMINV(RAND(),$C$13,0.15)))</f>
        <v/>
      </c>
      <c r="I28" s="32">
        <f>MAX(0,NORMINV(RAND(),$C$14,0.033))</f>
        <v/>
      </c>
      <c r="J28" s="33">
        <f>($C$7*$C$8/365)*F28</f>
        <v/>
      </c>
      <c r="K28" s="33">
        <f>$C$7*G28*$C$12*H28</f>
        <v/>
      </c>
      <c r="L28" s="33">
        <f>$C$7*I28*$C$15</f>
        <v/>
      </c>
      <c r="M28" s="33">
        <f>J28-K28-L28</f>
        <v/>
      </c>
    </row>
    <row r="29">
      <c r="E29" s="20" t="n">
        <v>21</v>
      </c>
      <c r="F29" s="32">
        <f>MAX(0.03,MIN(0.18,NORMINV(RAND(),$C$9,$C$10)))</f>
        <v/>
      </c>
      <c r="G29" s="32">
        <f>MAX(0.02,MIN(0.9,NORMINV(RAND(),$C$11,0.10)))</f>
        <v/>
      </c>
      <c r="H29" s="32">
        <f>MAX(0.02,MIN(0.98,NORMINV(RAND(),$C$13,0.15)))</f>
        <v/>
      </c>
      <c r="I29" s="32">
        <f>MAX(0,NORMINV(RAND(),$C$14,0.033))</f>
        <v/>
      </c>
      <c r="J29" s="33">
        <f>($C$7*$C$8/365)*F29</f>
        <v/>
      </c>
      <c r="K29" s="33">
        <f>$C$7*G29*$C$12*H29</f>
        <v/>
      </c>
      <c r="L29" s="33">
        <f>$C$7*I29*$C$15</f>
        <v/>
      </c>
      <c r="M29" s="33">
        <f>J29-K29-L29</f>
        <v/>
      </c>
    </row>
    <row r="30">
      <c r="E30" s="20" t="n">
        <v>22</v>
      </c>
      <c r="F30" s="32">
        <f>MAX(0.03,MIN(0.18,NORMINV(RAND(),$C$9,$C$10)))</f>
        <v/>
      </c>
      <c r="G30" s="32">
        <f>MAX(0.02,MIN(0.9,NORMINV(RAND(),$C$11,0.10)))</f>
        <v/>
      </c>
      <c r="H30" s="32">
        <f>MAX(0.02,MIN(0.98,NORMINV(RAND(),$C$13,0.15)))</f>
        <v/>
      </c>
      <c r="I30" s="32">
        <f>MAX(0,NORMINV(RAND(),$C$14,0.033))</f>
        <v/>
      </c>
      <c r="J30" s="33">
        <f>($C$7*$C$8/365)*F30</f>
        <v/>
      </c>
      <c r="K30" s="33">
        <f>$C$7*G30*$C$12*H30</f>
        <v/>
      </c>
      <c r="L30" s="33">
        <f>$C$7*I30*$C$15</f>
        <v/>
      </c>
      <c r="M30" s="33">
        <f>J30-K30-L30</f>
        <v/>
      </c>
    </row>
    <row r="31">
      <c r="E31" s="20" t="n">
        <v>23</v>
      </c>
      <c r="F31" s="32">
        <f>MAX(0.03,MIN(0.18,NORMINV(RAND(),$C$9,$C$10)))</f>
        <v/>
      </c>
      <c r="G31" s="32">
        <f>MAX(0.02,MIN(0.9,NORMINV(RAND(),$C$11,0.10)))</f>
        <v/>
      </c>
      <c r="H31" s="32">
        <f>MAX(0.02,MIN(0.98,NORMINV(RAND(),$C$13,0.15)))</f>
        <v/>
      </c>
      <c r="I31" s="32">
        <f>MAX(0,NORMINV(RAND(),$C$14,0.033))</f>
        <v/>
      </c>
      <c r="J31" s="33">
        <f>($C$7*$C$8/365)*F31</f>
        <v/>
      </c>
      <c r="K31" s="33">
        <f>$C$7*G31*$C$12*H31</f>
        <v/>
      </c>
      <c r="L31" s="33">
        <f>$C$7*I31*$C$15</f>
        <v/>
      </c>
      <c r="M31" s="33">
        <f>J31-K31-L31</f>
        <v/>
      </c>
    </row>
    <row r="32">
      <c r="E32" s="20" t="n">
        <v>24</v>
      </c>
      <c r="F32" s="32">
        <f>MAX(0.03,MIN(0.18,NORMINV(RAND(),$C$9,$C$10)))</f>
        <v/>
      </c>
      <c r="G32" s="32">
        <f>MAX(0.02,MIN(0.9,NORMINV(RAND(),$C$11,0.10)))</f>
        <v/>
      </c>
      <c r="H32" s="32">
        <f>MAX(0.02,MIN(0.98,NORMINV(RAND(),$C$13,0.15)))</f>
        <v/>
      </c>
      <c r="I32" s="32">
        <f>MAX(0,NORMINV(RAND(),$C$14,0.033))</f>
        <v/>
      </c>
      <c r="J32" s="33">
        <f>($C$7*$C$8/365)*F32</f>
        <v/>
      </c>
      <c r="K32" s="33">
        <f>$C$7*G32*$C$12*H32</f>
        <v/>
      </c>
      <c r="L32" s="33">
        <f>$C$7*I32*$C$15</f>
        <v/>
      </c>
      <c r="M32" s="33">
        <f>J32-K32-L32</f>
        <v/>
      </c>
    </row>
    <row r="33">
      <c r="E33" s="20" t="n">
        <v>25</v>
      </c>
      <c r="F33" s="32">
        <f>MAX(0.03,MIN(0.18,NORMINV(RAND(),$C$9,$C$10)))</f>
        <v/>
      </c>
      <c r="G33" s="32">
        <f>MAX(0.02,MIN(0.9,NORMINV(RAND(),$C$11,0.10)))</f>
        <v/>
      </c>
      <c r="H33" s="32">
        <f>MAX(0.02,MIN(0.98,NORMINV(RAND(),$C$13,0.15)))</f>
        <v/>
      </c>
      <c r="I33" s="32">
        <f>MAX(0,NORMINV(RAND(),$C$14,0.033))</f>
        <v/>
      </c>
      <c r="J33" s="33">
        <f>($C$7*$C$8/365)*F33</f>
        <v/>
      </c>
      <c r="K33" s="33">
        <f>$C$7*G33*$C$12*H33</f>
        <v/>
      </c>
      <c r="L33" s="33">
        <f>$C$7*I33*$C$15</f>
        <v/>
      </c>
      <c r="M33" s="33">
        <f>J33-K33-L33</f>
        <v/>
      </c>
    </row>
    <row r="34">
      <c r="E34" s="20" t="n">
        <v>26</v>
      </c>
      <c r="F34" s="32">
        <f>MAX(0.03,MIN(0.18,NORMINV(RAND(),$C$9,$C$10)))</f>
        <v/>
      </c>
      <c r="G34" s="32">
        <f>MAX(0.02,MIN(0.9,NORMINV(RAND(),$C$11,0.10)))</f>
        <v/>
      </c>
      <c r="H34" s="32">
        <f>MAX(0.02,MIN(0.98,NORMINV(RAND(),$C$13,0.15)))</f>
        <v/>
      </c>
      <c r="I34" s="32">
        <f>MAX(0,NORMINV(RAND(),$C$14,0.033))</f>
        <v/>
      </c>
      <c r="J34" s="33">
        <f>($C$7*$C$8/365)*F34</f>
        <v/>
      </c>
      <c r="K34" s="33">
        <f>$C$7*G34*$C$12*H34</f>
        <v/>
      </c>
      <c r="L34" s="33">
        <f>$C$7*I34*$C$15</f>
        <v/>
      </c>
      <c r="M34" s="33">
        <f>J34-K34-L34</f>
        <v/>
      </c>
    </row>
    <row r="35">
      <c r="E35" s="20" t="n">
        <v>27</v>
      </c>
      <c r="F35" s="32">
        <f>MAX(0.03,MIN(0.18,NORMINV(RAND(),$C$9,$C$10)))</f>
        <v/>
      </c>
      <c r="G35" s="32">
        <f>MAX(0.02,MIN(0.9,NORMINV(RAND(),$C$11,0.10)))</f>
        <v/>
      </c>
      <c r="H35" s="32">
        <f>MAX(0.02,MIN(0.98,NORMINV(RAND(),$C$13,0.15)))</f>
        <v/>
      </c>
      <c r="I35" s="32">
        <f>MAX(0,NORMINV(RAND(),$C$14,0.033))</f>
        <v/>
      </c>
      <c r="J35" s="33">
        <f>($C$7*$C$8/365)*F35</f>
        <v/>
      </c>
      <c r="K35" s="33">
        <f>$C$7*G35*$C$12*H35</f>
        <v/>
      </c>
      <c r="L35" s="33">
        <f>$C$7*I35*$C$15</f>
        <v/>
      </c>
      <c r="M35" s="33">
        <f>J35-K35-L35</f>
        <v/>
      </c>
    </row>
    <row r="36">
      <c r="E36" s="20" t="n">
        <v>28</v>
      </c>
      <c r="F36" s="32">
        <f>MAX(0.03,MIN(0.18,NORMINV(RAND(),$C$9,$C$10)))</f>
        <v/>
      </c>
      <c r="G36" s="32">
        <f>MAX(0.02,MIN(0.9,NORMINV(RAND(),$C$11,0.10)))</f>
        <v/>
      </c>
      <c r="H36" s="32">
        <f>MAX(0.02,MIN(0.98,NORMINV(RAND(),$C$13,0.15)))</f>
        <v/>
      </c>
      <c r="I36" s="32">
        <f>MAX(0,NORMINV(RAND(),$C$14,0.033))</f>
        <v/>
      </c>
      <c r="J36" s="33">
        <f>($C$7*$C$8/365)*F36</f>
        <v/>
      </c>
      <c r="K36" s="33">
        <f>$C$7*G36*$C$12*H36</f>
        <v/>
      </c>
      <c r="L36" s="33">
        <f>$C$7*I36*$C$15</f>
        <v/>
      </c>
      <c r="M36" s="33">
        <f>J36-K36-L36</f>
        <v/>
      </c>
    </row>
    <row r="37">
      <c r="E37" s="20" t="n">
        <v>29</v>
      </c>
      <c r="F37" s="32">
        <f>MAX(0.03,MIN(0.18,NORMINV(RAND(),$C$9,$C$10)))</f>
        <v/>
      </c>
      <c r="G37" s="32">
        <f>MAX(0.02,MIN(0.9,NORMINV(RAND(),$C$11,0.10)))</f>
        <v/>
      </c>
      <c r="H37" s="32">
        <f>MAX(0.02,MIN(0.98,NORMINV(RAND(),$C$13,0.15)))</f>
        <v/>
      </c>
      <c r="I37" s="32">
        <f>MAX(0,NORMINV(RAND(),$C$14,0.033))</f>
        <v/>
      </c>
      <c r="J37" s="33">
        <f>($C$7*$C$8/365)*F37</f>
        <v/>
      </c>
      <c r="K37" s="33">
        <f>$C$7*G37*$C$12*H37</f>
        <v/>
      </c>
      <c r="L37" s="33">
        <f>$C$7*I37*$C$15</f>
        <v/>
      </c>
      <c r="M37" s="33">
        <f>J37-K37-L37</f>
        <v/>
      </c>
    </row>
    <row r="38">
      <c r="E38" s="20" t="n">
        <v>30</v>
      </c>
      <c r="F38" s="32">
        <f>MAX(0.03,MIN(0.18,NORMINV(RAND(),$C$9,$C$10)))</f>
        <v/>
      </c>
      <c r="G38" s="32">
        <f>MAX(0.02,MIN(0.9,NORMINV(RAND(),$C$11,0.10)))</f>
        <v/>
      </c>
      <c r="H38" s="32">
        <f>MAX(0.02,MIN(0.98,NORMINV(RAND(),$C$13,0.15)))</f>
        <v/>
      </c>
      <c r="I38" s="32">
        <f>MAX(0,NORMINV(RAND(),$C$14,0.033))</f>
        <v/>
      </c>
      <c r="J38" s="33">
        <f>($C$7*$C$8/365)*F38</f>
        <v/>
      </c>
      <c r="K38" s="33">
        <f>$C$7*G38*$C$12*H38</f>
        <v/>
      </c>
      <c r="L38" s="33">
        <f>$C$7*I38*$C$15</f>
        <v/>
      </c>
      <c r="M38" s="33">
        <f>J38-K38-L38</f>
        <v/>
      </c>
    </row>
    <row r="39">
      <c r="E39" s="20" t="n">
        <v>31</v>
      </c>
      <c r="F39" s="32">
        <f>MAX(0.03,MIN(0.18,NORMINV(RAND(),$C$9,$C$10)))</f>
        <v/>
      </c>
      <c r="G39" s="32">
        <f>MAX(0.02,MIN(0.9,NORMINV(RAND(),$C$11,0.10)))</f>
        <v/>
      </c>
      <c r="H39" s="32">
        <f>MAX(0.02,MIN(0.98,NORMINV(RAND(),$C$13,0.15)))</f>
        <v/>
      </c>
      <c r="I39" s="32">
        <f>MAX(0,NORMINV(RAND(),$C$14,0.033))</f>
        <v/>
      </c>
      <c r="J39" s="33">
        <f>($C$7*$C$8/365)*F39</f>
        <v/>
      </c>
      <c r="K39" s="33">
        <f>$C$7*G39*$C$12*H39</f>
        <v/>
      </c>
      <c r="L39" s="33">
        <f>$C$7*I39*$C$15</f>
        <v/>
      </c>
      <c r="M39" s="33">
        <f>J39-K39-L39</f>
        <v/>
      </c>
    </row>
    <row r="40">
      <c r="E40" s="20" t="n">
        <v>32</v>
      </c>
      <c r="F40" s="32">
        <f>MAX(0.03,MIN(0.18,NORMINV(RAND(),$C$9,$C$10)))</f>
        <v/>
      </c>
      <c r="G40" s="32">
        <f>MAX(0.02,MIN(0.9,NORMINV(RAND(),$C$11,0.10)))</f>
        <v/>
      </c>
      <c r="H40" s="32">
        <f>MAX(0.02,MIN(0.98,NORMINV(RAND(),$C$13,0.15)))</f>
        <v/>
      </c>
      <c r="I40" s="32">
        <f>MAX(0,NORMINV(RAND(),$C$14,0.033))</f>
        <v/>
      </c>
      <c r="J40" s="33">
        <f>($C$7*$C$8/365)*F40</f>
        <v/>
      </c>
      <c r="K40" s="33">
        <f>$C$7*G40*$C$12*H40</f>
        <v/>
      </c>
      <c r="L40" s="33">
        <f>$C$7*I40*$C$15</f>
        <v/>
      </c>
      <c r="M40" s="33">
        <f>J40-K40-L40</f>
        <v/>
      </c>
    </row>
    <row r="41">
      <c r="E41" s="20" t="n">
        <v>33</v>
      </c>
      <c r="F41" s="32">
        <f>MAX(0.03,MIN(0.18,NORMINV(RAND(),$C$9,$C$10)))</f>
        <v/>
      </c>
      <c r="G41" s="32">
        <f>MAX(0.02,MIN(0.9,NORMINV(RAND(),$C$11,0.10)))</f>
        <v/>
      </c>
      <c r="H41" s="32">
        <f>MAX(0.02,MIN(0.98,NORMINV(RAND(),$C$13,0.15)))</f>
        <v/>
      </c>
      <c r="I41" s="32">
        <f>MAX(0,NORMINV(RAND(),$C$14,0.033))</f>
        <v/>
      </c>
      <c r="J41" s="33">
        <f>($C$7*$C$8/365)*F41</f>
        <v/>
      </c>
      <c r="K41" s="33">
        <f>$C$7*G41*$C$12*H41</f>
        <v/>
      </c>
      <c r="L41" s="33">
        <f>$C$7*I41*$C$15</f>
        <v/>
      </c>
      <c r="M41" s="33">
        <f>J41-K41-L41</f>
        <v/>
      </c>
    </row>
    <row r="42">
      <c r="E42" s="20" t="n">
        <v>34</v>
      </c>
      <c r="F42" s="32">
        <f>MAX(0.03,MIN(0.18,NORMINV(RAND(),$C$9,$C$10)))</f>
        <v/>
      </c>
      <c r="G42" s="32">
        <f>MAX(0.02,MIN(0.9,NORMINV(RAND(),$C$11,0.10)))</f>
        <v/>
      </c>
      <c r="H42" s="32">
        <f>MAX(0.02,MIN(0.98,NORMINV(RAND(),$C$13,0.15)))</f>
        <v/>
      </c>
      <c r="I42" s="32">
        <f>MAX(0,NORMINV(RAND(),$C$14,0.033))</f>
        <v/>
      </c>
      <c r="J42" s="33">
        <f>($C$7*$C$8/365)*F42</f>
        <v/>
      </c>
      <c r="K42" s="33">
        <f>$C$7*G42*$C$12*H42</f>
        <v/>
      </c>
      <c r="L42" s="33">
        <f>$C$7*I42*$C$15</f>
        <v/>
      </c>
      <c r="M42" s="33">
        <f>J42-K42-L42</f>
        <v/>
      </c>
    </row>
    <row r="43">
      <c r="E43" s="20" t="n">
        <v>35</v>
      </c>
      <c r="F43" s="32">
        <f>MAX(0.03,MIN(0.18,NORMINV(RAND(),$C$9,$C$10)))</f>
        <v/>
      </c>
      <c r="G43" s="32">
        <f>MAX(0.02,MIN(0.9,NORMINV(RAND(),$C$11,0.10)))</f>
        <v/>
      </c>
      <c r="H43" s="32">
        <f>MAX(0.02,MIN(0.98,NORMINV(RAND(),$C$13,0.15)))</f>
        <v/>
      </c>
      <c r="I43" s="32">
        <f>MAX(0,NORMINV(RAND(),$C$14,0.033))</f>
        <v/>
      </c>
      <c r="J43" s="33">
        <f>($C$7*$C$8/365)*F43</f>
        <v/>
      </c>
      <c r="K43" s="33">
        <f>$C$7*G43*$C$12*H43</f>
        <v/>
      </c>
      <c r="L43" s="33">
        <f>$C$7*I43*$C$15</f>
        <v/>
      </c>
      <c r="M43" s="33">
        <f>J43-K43-L43</f>
        <v/>
      </c>
    </row>
    <row r="44">
      <c r="E44" s="20" t="n">
        <v>36</v>
      </c>
      <c r="F44" s="32">
        <f>MAX(0.03,MIN(0.18,NORMINV(RAND(),$C$9,$C$10)))</f>
        <v/>
      </c>
      <c r="G44" s="32">
        <f>MAX(0.02,MIN(0.9,NORMINV(RAND(),$C$11,0.10)))</f>
        <v/>
      </c>
      <c r="H44" s="32">
        <f>MAX(0.02,MIN(0.98,NORMINV(RAND(),$C$13,0.15)))</f>
        <v/>
      </c>
      <c r="I44" s="32">
        <f>MAX(0,NORMINV(RAND(),$C$14,0.033))</f>
        <v/>
      </c>
      <c r="J44" s="33">
        <f>($C$7*$C$8/365)*F44</f>
        <v/>
      </c>
      <c r="K44" s="33">
        <f>$C$7*G44*$C$12*H44</f>
        <v/>
      </c>
      <c r="L44" s="33">
        <f>$C$7*I44*$C$15</f>
        <v/>
      </c>
      <c r="M44" s="33">
        <f>J44-K44-L44</f>
        <v/>
      </c>
    </row>
    <row r="45">
      <c r="E45" s="20" t="n">
        <v>37</v>
      </c>
      <c r="F45" s="32">
        <f>MAX(0.03,MIN(0.18,NORMINV(RAND(),$C$9,$C$10)))</f>
        <v/>
      </c>
      <c r="G45" s="32">
        <f>MAX(0.02,MIN(0.9,NORMINV(RAND(),$C$11,0.10)))</f>
        <v/>
      </c>
      <c r="H45" s="32">
        <f>MAX(0.02,MIN(0.98,NORMINV(RAND(),$C$13,0.15)))</f>
        <v/>
      </c>
      <c r="I45" s="32">
        <f>MAX(0,NORMINV(RAND(),$C$14,0.033))</f>
        <v/>
      </c>
      <c r="J45" s="33">
        <f>($C$7*$C$8/365)*F45</f>
        <v/>
      </c>
      <c r="K45" s="33">
        <f>$C$7*G45*$C$12*H45</f>
        <v/>
      </c>
      <c r="L45" s="33">
        <f>$C$7*I45*$C$15</f>
        <v/>
      </c>
      <c r="M45" s="33">
        <f>J45-K45-L45</f>
        <v/>
      </c>
    </row>
    <row r="46">
      <c r="E46" s="20" t="n">
        <v>38</v>
      </c>
      <c r="F46" s="32">
        <f>MAX(0.03,MIN(0.18,NORMINV(RAND(),$C$9,$C$10)))</f>
        <v/>
      </c>
      <c r="G46" s="32">
        <f>MAX(0.02,MIN(0.9,NORMINV(RAND(),$C$11,0.10)))</f>
        <v/>
      </c>
      <c r="H46" s="32">
        <f>MAX(0.02,MIN(0.98,NORMINV(RAND(),$C$13,0.15)))</f>
        <v/>
      </c>
      <c r="I46" s="32">
        <f>MAX(0,NORMINV(RAND(),$C$14,0.033))</f>
        <v/>
      </c>
      <c r="J46" s="33">
        <f>($C$7*$C$8/365)*F46</f>
        <v/>
      </c>
      <c r="K46" s="33">
        <f>$C$7*G46*$C$12*H46</f>
        <v/>
      </c>
      <c r="L46" s="33">
        <f>$C$7*I46*$C$15</f>
        <v/>
      </c>
      <c r="M46" s="33">
        <f>J46-K46-L46</f>
        <v/>
      </c>
    </row>
    <row r="47">
      <c r="E47" s="20" t="n">
        <v>39</v>
      </c>
      <c r="F47" s="32">
        <f>MAX(0.03,MIN(0.18,NORMINV(RAND(),$C$9,$C$10)))</f>
        <v/>
      </c>
      <c r="G47" s="32">
        <f>MAX(0.02,MIN(0.9,NORMINV(RAND(),$C$11,0.10)))</f>
        <v/>
      </c>
      <c r="H47" s="32">
        <f>MAX(0.02,MIN(0.98,NORMINV(RAND(),$C$13,0.15)))</f>
        <v/>
      </c>
      <c r="I47" s="32">
        <f>MAX(0,NORMINV(RAND(),$C$14,0.033))</f>
        <v/>
      </c>
      <c r="J47" s="33">
        <f>($C$7*$C$8/365)*F47</f>
        <v/>
      </c>
      <c r="K47" s="33">
        <f>$C$7*G47*$C$12*H47</f>
        <v/>
      </c>
      <c r="L47" s="33">
        <f>$C$7*I47*$C$15</f>
        <v/>
      </c>
      <c r="M47" s="33">
        <f>J47-K47-L47</f>
        <v/>
      </c>
    </row>
    <row r="48">
      <c r="E48" s="20" t="n">
        <v>40</v>
      </c>
      <c r="F48" s="32">
        <f>MAX(0.03,MIN(0.18,NORMINV(RAND(),$C$9,$C$10)))</f>
        <v/>
      </c>
      <c r="G48" s="32">
        <f>MAX(0.02,MIN(0.9,NORMINV(RAND(),$C$11,0.10)))</f>
        <v/>
      </c>
      <c r="H48" s="32">
        <f>MAX(0.02,MIN(0.98,NORMINV(RAND(),$C$13,0.15)))</f>
        <v/>
      </c>
      <c r="I48" s="32">
        <f>MAX(0,NORMINV(RAND(),$C$14,0.033))</f>
        <v/>
      </c>
      <c r="J48" s="33">
        <f>($C$7*$C$8/365)*F48</f>
        <v/>
      </c>
      <c r="K48" s="33">
        <f>$C$7*G48*$C$12*H48</f>
        <v/>
      </c>
      <c r="L48" s="33">
        <f>$C$7*I48*$C$15</f>
        <v/>
      </c>
      <c r="M48" s="33">
        <f>J48-K48-L48</f>
        <v/>
      </c>
    </row>
    <row r="49">
      <c r="E49" s="20" t="n">
        <v>41</v>
      </c>
      <c r="F49" s="32">
        <f>MAX(0.03,MIN(0.18,NORMINV(RAND(),$C$9,$C$10)))</f>
        <v/>
      </c>
      <c r="G49" s="32">
        <f>MAX(0.02,MIN(0.9,NORMINV(RAND(),$C$11,0.10)))</f>
        <v/>
      </c>
      <c r="H49" s="32">
        <f>MAX(0.02,MIN(0.98,NORMINV(RAND(),$C$13,0.15)))</f>
        <v/>
      </c>
      <c r="I49" s="32">
        <f>MAX(0,NORMINV(RAND(),$C$14,0.033))</f>
        <v/>
      </c>
      <c r="J49" s="33">
        <f>($C$7*$C$8/365)*F49</f>
        <v/>
      </c>
      <c r="K49" s="33">
        <f>$C$7*G49*$C$12*H49</f>
        <v/>
      </c>
      <c r="L49" s="33">
        <f>$C$7*I49*$C$15</f>
        <v/>
      </c>
      <c r="M49" s="33">
        <f>J49-K49-L49</f>
        <v/>
      </c>
    </row>
    <row r="50">
      <c r="E50" s="20" t="n">
        <v>42</v>
      </c>
      <c r="F50" s="32">
        <f>MAX(0.03,MIN(0.18,NORMINV(RAND(),$C$9,$C$10)))</f>
        <v/>
      </c>
      <c r="G50" s="32">
        <f>MAX(0.02,MIN(0.9,NORMINV(RAND(),$C$11,0.10)))</f>
        <v/>
      </c>
      <c r="H50" s="32">
        <f>MAX(0.02,MIN(0.98,NORMINV(RAND(),$C$13,0.15)))</f>
        <v/>
      </c>
      <c r="I50" s="32">
        <f>MAX(0,NORMINV(RAND(),$C$14,0.033))</f>
        <v/>
      </c>
      <c r="J50" s="33">
        <f>($C$7*$C$8/365)*F50</f>
        <v/>
      </c>
      <c r="K50" s="33">
        <f>$C$7*G50*$C$12*H50</f>
        <v/>
      </c>
      <c r="L50" s="33">
        <f>$C$7*I50*$C$15</f>
        <v/>
      </c>
      <c r="M50" s="33">
        <f>J50-K50-L50</f>
        <v/>
      </c>
    </row>
    <row r="51">
      <c r="E51" s="20" t="n">
        <v>43</v>
      </c>
      <c r="F51" s="32">
        <f>MAX(0.03,MIN(0.18,NORMINV(RAND(),$C$9,$C$10)))</f>
        <v/>
      </c>
      <c r="G51" s="32">
        <f>MAX(0.02,MIN(0.9,NORMINV(RAND(),$C$11,0.10)))</f>
        <v/>
      </c>
      <c r="H51" s="32">
        <f>MAX(0.02,MIN(0.98,NORMINV(RAND(),$C$13,0.15)))</f>
        <v/>
      </c>
      <c r="I51" s="32">
        <f>MAX(0,NORMINV(RAND(),$C$14,0.033))</f>
        <v/>
      </c>
      <c r="J51" s="33">
        <f>($C$7*$C$8/365)*F51</f>
        <v/>
      </c>
      <c r="K51" s="33">
        <f>$C$7*G51*$C$12*H51</f>
        <v/>
      </c>
      <c r="L51" s="33">
        <f>$C$7*I51*$C$15</f>
        <v/>
      </c>
      <c r="M51" s="33">
        <f>J51-K51-L51</f>
        <v/>
      </c>
    </row>
    <row r="52">
      <c r="E52" s="20" t="n">
        <v>44</v>
      </c>
      <c r="F52" s="32">
        <f>MAX(0.03,MIN(0.18,NORMINV(RAND(),$C$9,$C$10)))</f>
        <v/>
      </c>
      <c r="G52" s="32">
        <f>MAX(0.02,MIN(0.9,NORMINV(RAND(),$C$11,0.10)))</f>
        <v/>
      </c>
      <c r="H52" s="32">
        <f>MAX(0.02,MIN(0.98,NORMINV(RAND(),$C$13,0.15)))</f>
        <v/>
      </c>
      <c r="I52" s="32">
        <f>MAX(0,NORMINV(RAND(),$C$14,0.033))</f>
        <v/>
      </c>
      <c r="J52" s="33">
        <f>($C$7*$C$8/365)*F52</f>
        <v/>
      </c>
      <c r="K52" s="33">
        <f>$C$7*G52*$C$12*H52</f>
        <v/>
      </c>
      <c r="L52" s="33">
        <f>$C$7*I52*$C$15</f>
        <v/>
      </c>
      <c r="M52" s="33">
        <f>J52-K52-L52</f>
        <v/>
      </c>
    </row>
    <row r="53">
      <c r="E53" s="20" t="n">
        <v>45</v>
      </c>
      <c r="F53" s="32">
        <f>MAX(0.03,MIN(0.18,NORMINV(RAND(),$C$9,$C$10)))</f>
        <v/>
      </c>
      <c r="G53" s="32">
        <f>MAX(0.02,MIN(0.9,NORMINV(RAND(),$C$11,0.10)))</f>
        <v/>
      </c>
      <c r="H53" s="32">
        <f>MAX(0.02,MIN(0.98,NORMINV(RAND(),$C$13,0.15)))</f>
        <v/>
      </c>
      <c r="I53" s="32">
        <f>MAX(0,NORMINV(RAND(),$C$14,0.033))</f>
        <v/>
      </c>
      <c r="J53" s="33">
        <f>($C$7*$C$8/365)*F53</f>
        <v/>
      </c>
      <c r="K53" s="33">
        <f>$C$7*G53*$C$12*H53</f>
        <v/>
      </c>
      <c r="L53" s="33">
        <f>$C$7*I53*$C$15</f>
        <v/>
      </c>
      <c r="M53" s="33">
        <f>J53-K53-L53</f>
        <v/>
      </c>
    </row>
    <row r="54">
      <c r="E54" s="20" t="n">
        <v>46</v>
      </c>
      <c r="F54" s="32">
        <f>MAX(0.03,MIN(0.18,NORMINV(RAND(),$C$9,$C$10)))</f>
        <v/>
      </c>
      <c r="G54" s="32">
        <f>MAX(0.02,MIN(0.9,NORMINV(RAND(),$C$11,0.10)))</f>
        <v/>
      </c>
      <c r="H54" s="32">
        <f>MAX(0.02,MIN(0.98,NORMINV(RAND(),$C$13,0.15)))</f>
        <v/>
      </c>
      <c r="I54" s="32">
        <f>MAX(0,NORMINV(RAND(),$C$14,0.033))</f>
        <v/>
      </c>
      <c r="J54" s="33">
        <f>($C$7*$C$8/365)*F54</f>
        <v/>
      </c>
      <c r="K54" s="33">
        <f>$C$7*G54*$C$12*H54</f>
        <v/>
      </c>
      <c r="L54" s="33">
        <f>$C$7*I54*$C$15</f>
        <v/>
      </c>
      <c r="M54" s="33">
        <f>J54-K54-L54</f>
        <v/>
      </c>
    </row>
    <row r="55">
      <c r="E55" s="20" t="n">
        <v>47</v>
      </c>
      <c r="F55" s="32">
        <f>MAX(0.03,MIN(0.18,NORMINV(RAND(),$C$9,$C$10)))</f>
        <v/>
      </c>
      <c r="G55" s="32">
        <f>MAX(0.02,MIN(0.9,NORMINV(RAND(),$C$11,0.10)))</f>
        <v/>
      </c>
      <c r="H55" s="32">
        <f>MAX(0.02,MIN(0.98,NORMINV(RAND(),$C$13,0.15)))</f>
        <v/>
      </c>
      <c r="I55" s="32">
        <f>MAX(0,NORMINV(RAND(),$C$14,0.033))</f>
        <v/>
      </c>
      <c r="J55" s="33">
        <f>($C$7*$C$8/365)*F55</f>
        <v/>
      </c>
      <c r="K55" s="33">
        <f>$C$7*G55*$C$12*H55</f>
        <v/>
      </c>
      <c r="L55" s="33">
        <f>$C$7*I55*$C$15</f>
        <v/>
      </c>
      <c r="M55" s="33">
        <f>J55-K55-L55</f>
        <v/>
      </c>
    </row>
    <row r="56">
      <c r="E56" s="20" t="n">
        <v>48</v>
      </c>
      <c r="F56" s="32">
        <f>MAX(0.03,MIN(0.18,NORMINV(RAND(),$C$9,$C$10)))</f>
        <v/>
      </c>
      <c r="G56" s="32">
        <f>MAX(0.02,MIN(0.9,NORMINV(RAND(),$C$11,0.10)))</f>
        <v/>
      </c>
      <c r="H56" s="32">
        <f>MAX(0.02,MIN(0.98,NORMINV(RAND(),$C$13,0.15)))</f>
        <v/>
      </c>
      <c r="I56" s="32">
        <f>MAX(0,NORMINV(RAND(),$C$14,0.033))</f>
        <v/>
      </c>
      <c r="J56" s="33">
        <f>($C$7*$C$8/365)*F56</f>
        <v/>
      </c>
      <c r="K56" s="33">
        <f>$C$7*G56*$C$12*H56</f>
        <v/>
      </c>
      <c r="L56" s="33">
        <f>$C$7*I56*$C$15</f>
        <v/>
      </c>
      <c r="M56" s="33">
        <f>J56-K56-L56</f>
        <v/>
      </c>
    </row>
    <row r="57">
      <c r="E57" s="20" t="n">
        <v>49</v>
      </c>
      <c r="F57" s="32">
        <f>MAX(0.03,MIN(0.18,NORMINV(RAND(),$C$9,$C$10)))</f>
        <v/>
      </c>
      <c r="G57" s="32">
        <f>MAX(0.02,MIN(0.9,NORMINV(RAND(),$C$11,0.10)))</f>
        <v/>
      </c>
      <c r="H57" s="32">
        <f>MAX(0.02,MIN(0.98,NORMINV(RAND(),$C$13,0.15)))</f>
        <v/>
      </c>
      <c r="I57" s="32">
        <f>MAX(0,NORMINV(RAND(),$C$14,0.033))</f>
        <v/>
      </c>
      <c r="J57" s="33">
        <f>($C$7*$C$8/365)*F57</f>
        <v/>
      </c>
      <c r="K57" s="33">
        <f>$C$7*G57*$C$12*H57</f>
        <v/>
      </c>
      <c r="L57" s="33">
        <f>$C$7*I57*$C$15</f>
        <v/>
      </c>
      <c r="M57" s="33">
        <f>J57-K57-L57</f>
        <v/>
      </c>
    </row>
    <row r="58">
      <c r="E58" s="20" t="n">
        <v>50</v>
      </c>
      <c r="F58" s="32">
        <f>MAX(0.03,MIN(0.18,NORMINV(RAND(),$C$9,$C$10)))</f>
        <v/>
      </c>
      <c r="G58" s="32">
        <f>MAX(0.02,MIN(0.9,NORMINV(RAND(),$C$11,0.10)))</f>
        <v/>
      </c>
      <c r="H58" s="32">
        <f>MAX(0.02,MIN(0.98,NORMINV(RAND(),$C$13,0.15)))</f>
        <v/>
      </c>
      <c r="I58" s="32">
        <f>MAX(0,NORMINV(RAND(),$C$14,0.033))</f>
        <v/>
      </c>
      <c r="J58" s="33">
        <f>($C$7*$C$8/365)*F58</f>
        <v/>
      </c>
      <c r="K58" s="33">
        <f>$C$7*G58*$C$12*H58</f>
        <v/>
      </c>
      <c r="L58" s="33">
        <f>$C$7*I58*$C$15</f>
        <v/>
      </c>
      <c r="M58" s="33">
        <f>J58-K58-L58</f>
        <v/>
      </c>
    </row>
    <row r="59">
      <c r="E59" s="20" t="n">
        <v>51</v>
      </c>
      <c r="F59" s="32">
        <f>MAX(0.03,MIN(0.18,NORMINV(RAND(),$C$9,$C$10)))</f>
        <v/>
      </c>
      <c r="G59" s="32">
        <f>MAX(0.02,MIN(0.9,NORMINV(RAND(),$C$11,0.10)))</f>
        <v/>
      </c>
      <c r="H59" s="32">
        <f>MAX(0.02,MIN(0.98,NORMINV(RAND(),$C$13,0.15)))</f>
        <v/>
      </c>
      <c r="I59" s="32">
        <f>MAX(0,NORMINV(RAND(),$C$14,0.033))</f>
        <v/>
      </c>
      <c r="J59" s="33">
        <f>($C$7*$C$8/365)*F59</f>
        <v/>
      </c>
      <c r="K59" s="33">
        <f>$C$7*G59*$C$12*H59</f>
        <v/>
      </c>
      <c r="L59" s="33">
        <f>$C$7*I59*$C$15</f>
        <v/>
      </c>
      <c r="M59" s="33">
        <f>J59-K59-L59</f>
        <v/>
      </c>
    </row>
    <row r="60">
      <c r="E60" s="20" t="n">
        <v>52</v>
      </c>
      <c r="F60" s="32">
        <f>MAX(0.03,MIN(0.18,NORMINV(RAND(),$C$9,$C$10)))</f>
        <v/>
      </c>
      <c r="G60" s="32">
        <f>MAX(0.02,MIN(0.9,NORMINV(RAND(),$C$11,0.10)))</f>
        <v/>
      </c>
      <c r="H60" s="32">
        <f>MAX(0.02,MIN(0.98,NORMINV(RAND(),$C$13,0.15)))</f>
        <v/>
      </c>
      <c r="I60" s="32">
        <f>MAX(0,NORMINV(RAND(),$C$14,0.033))</f>
        <v/>
      </c>
      <c r="J60" s="33">
        <f>($C$7*$C$8/365)*F60</f>
        <v/>
      </c>
      <c r="K60" s="33">
        <f>$C$7*G60*$C$12*H60</f>
        <v/>
      </c>
      <c r="L60" s="33">
        <f>$C$7*I60*$C$15</f>
        <v/>
      </c>
      <c r="M60" s="33">
        <f>J60-K60-L60</f>
        <v/>
      </c>
    </row>
    <row r="61">
      <c r="E61" s="20" t="n">
        <v>53</v>
      </c>
      <c r="F61" s="32">
        <f>MAX(0.03,MIN(0.18,NORMINV(RAND(),$C$9,$C$10)))</f>
        <v/>
      </c>
      <c r="G61" s="32">
        <f>MAX(0.02,MIN(0.9,NORMINV(RAND(),$C$11,0.10)))</f>
        <v/>
      </c>
      <c r="H61" s="32">
        <f>MAX(0.02,MIN(0.98,NORMINV(RAND(),$C$13,0.15)))</f>
        <v/>
      </c>
      <c r="I61" s="32">
        <f>MAX(0,NORMINV(RAND(),$C$14,0.033))</f>
        <v/>
      </c>
      <c r="J61" s="33">
        <f>($C$7*$C$8/365)*F61</f>
        <v/>
      </c>
      <c r="K61" s="33">
        <f>$C$7*G61*$C$12*H61</f>
        <v/>
      </c>
      <c r="L61" s="33">
        <f>$C$7*I61*$C$15</f>
        <v/>
      </c>
      <c r="M61" s="33">
        <f>J61-K61-L61</f>
        <v/>
      </c>
    </row>
    <row r="62">
      <c r="E62" s="20" t="n">
        <v>54</v>
      </c>
      <c r="F62" s="32">
        <f>MAX(0.03,MIN(0.18,NORMINV(RAND(),$C$9,$C$10)))</f>
        <v/>
      </c>
      <c r="G62" s="32">
        <f>MAX(0.02,MIN(0.9,NORMINV(RAND(),$C$11,0.10)))</f>
        <v/>
      </c>
      <c r="H62" s="32">
        <f>MAX(0.02,MIN(0.98,NORMINV(RAND(),$C$13,0.15)))</f>
        <v/>
      </c>
      <c r="I62" s="32">
        <f>MAX(0,NORMINV(RAND(),$C$14,0.033))</f>
        <v/>
      </c>
      <c r="J62" s="33">
        <f>($C$7*$C$8/365)*F62</f>
        <v/>
      </c>
      <c r="K62" s="33">
        <f>$C$7*G62*$C$12*H62</f>
        <v/>
      </c>
      <c r="L62" s="33">
        <f>$C$7*I62*$C$15</f>
        <v/>
      </c>
      <c r="M62" s="33">
        <f>J62-K62-L62</f>
        <v/>
      </c>
    </row>
    <row r="63">
      <c r="E63" s="20" t="n">
        <v>55</v>
      </c>
      <c r="F63" s="32">
        <f>MAX(0.03,MIN(0.18,NORMINV(RAND(),$C$9,$C$10)))</f>
        <v/>
      </c>
      <c r="G63" s="32">
        <f>MAX(0.02,MIN(0.9,NORMINV(RAND(),$C$11,0.10)))</f>
        <v/>
      </c>
      <c r="H63" s="32">
        <f>MAX(0.02,MIN(0.98,NORMINV(RAND(),$C$13,0.15)))</f>
        <v/>
      </c>
      <c r="I63" s="32">
        <f>MAX(0,NORMINV(RAND(),$C$14,0.033))</f>
        <v/>
      </c>
      <c r="J63" s="33">
        <f>($C$7*$C$8/365)*F63</f>
        <v/>
      </c>
      <c r="K63" s="33">
        <f>$C$7*G63*$C$12*H63</f>
        <v/>
      </c>
      <c r="L63" s="33">
        <f>$C$7*I63*$C$15</f>
        <v/>
      </c>
      <c r="M63" s="33">
        <f>J63-K63-L63</f>
        <v/>
      </c>
    </row>
    <row r="64">
      <c r="E64" s="20" t="n">
        <v>56</v>
      </c>
      <c r="F64" s="32">
        <f>MAX(0.03,MIN(0.18,NORMINV(RAND(),$C$9,$C$10)))</f>
        <v/>
      </c>
      <c r="G64" s="32">
        <f>MAX(0.02,MIN(0.9,NORMINV(RAND(),$C$11,0.10)))</f>
        <v/>
      </c>
      <c r="H64" s="32">
        <f>MAX(0.02,MIN(0.98,NORMINV(RAND(),$C$13,0.15)))</f>
        <v/>
      </c>
      <c r="I64" s="32">
        <f>MAX(0,NORMINV(RAND(),$C$14,0.033))</f>
        <v/>
      </c>
      <c r="J64" s="33">
        <f>($C$7*$C$8/365)*F64</f>
        <v/>
      </c>
      <c r="K64" s="33">
        <f>$C$7*G64*$C$12*H64</f>
        <v/>
      </c>
      <c r="L64" s="33">
        <f>$C$7*I64*$C$15</f>
        <v/>
      </c>
      <c r="M64" s="33">
        <f>J64-K64-L64</f>
        <v/>
      </c>
    </row>
    <row r="65">
      <c r="E65" s="20" t="n">
        <v>57</v>
      </c>
      <c r="F65" s="32">
        <f>MAX(0.03,MIN(0.18,NORMINV(RAND(),$C$9,$C$10)))</f>
        <v/>
      </c>
      <c r="G65" s="32">
        <f>MAX(0.02,MIN(0.9,NORMINV(RAND(),$C$11,0.10)))</f>
        <v/>
      </c>
      <c r="H65" s="32">
        <f>MAX(0.02,MIN(0.98,NORMINV(RAND(),$C$13,0.15)))</f>
        <v/>
      </c>
      <c r="I65" s="32">
        <f>MAX(0,NORMINV(RAND(),$C$14,0.033))</f>
        <v/>
      </c>
      <c r="J65" s="33">
        <f>($C$7*$C$8/365)*F65</f>
        <v/>
      </c>
      <c r="K65" s="33">
        <f>$C$7*G65*$C$12*H65</f>
        <v/>
      </c>
      <c r="L65" s="33">
        <f>$C$7*I65*$C$15</f>
        <v/>
      </c>
      <c r="M65" s="33">
        <f>J65-K65-L65</f>
        <v/>
      </c>
    </row>
    <row r="66">
      <c r="E66" s="20" t="n">
        <v>58</v>
      </c>
      <c r="F66" s="32">
        <f>MAX(0.03,MIN(0.18,NORMINV(RAND(),$C$9,$C$10)))</f>
        <v/>
      </c>
      <c r="G66" s="32">
        <f>MAX(0.02,MIN(0.9,NORMINV(RAND(),$C$11,0.10)))</f>
        <v/>
      </c>
      <c r="H66" s="32">
        <f>MAX(0.02,MIN(0.98,NORMINV(RAND(),$C$13,0.15)))</f>
        <v/>
      </c>
      <c r="I66" s="32">
        <f>MAX(0,NORMINV(RAND(),$C$14,0.033))</f>
        <v/>
      </c>
      <c r="J66" s="33">
        <f>($C$7*$C$8/365)*F66</f>
        <v/>
      </c>
      <c r="K66" s="33">
        <f>$C$7*G66*$C$12*H66</f>
        <v/>
      </c>
      <c r="L66" s="33">
        <f>$C$7*I66*$C$15</f>
        <v/>
      </c>
      <c r="M66" s="33">
        <f>J66-K66-L66</f>
        <v/>
      </c>
    </row>
    <row r="67">
      <c r="E67" s="20" t="n">
        <v>59</v>
      </c>
      <c r="F67" s="32">
        <f>MAX(0.03,MIN(0.18,NORMINV(RAND(),$C$9,$C$10)))</f>
        <v/>
      </c>
      <c r="G67" s="32">
        <f>MAX(0.02,MIN(0.9,NORMINV(RAND(),$C$11,0.10)))</f>
        <v/>
      </c>
      <c r="H67" s="32">
        <f>MAX(0.02,MIN(0.98,NORMINV(RAND(),$C$13,0.15)))</f>
        <v/>
      </c>
      <c r="I67" s="32">
        <f>MAX(0,NORMINV(RAND(),$C$14,0.033))</f>
        <v/>
      </c>
      <c r="J67" s="33">
        <f>($C$7*$C$8/365)*F67</f>
        <v/>
      </c>
      <c r="K67" s="33">
        <f>$C$7*G67*$C$12*H67</f>
        <v/>
      </c>
      <c r="L67" s="33">
        <f>$C$7*I67*$C$15</f>
        <v/>
      </c>
      <c r="M67" s="33">
        <f>J67-K67-L67</f>
        <v/>
      </c>
    </row>
    <row r="68">
      <c r="E68" s="20" t="n">
        <v>60</v>
      </c>
      <c r="F68" s="32">
        <f>MAX(0.03,MIN(0.18,NORMINV(RAND(),$C$9,$C$10)))</f>
        <v/>
      </c>
      <c r="G68" s="32">
        <f>MAX(0.02,MIN(0.9,NORMINV(RAND(),$C$11,0.10)))</f>
        <v/>
      </c>
      <c r="H68" s="32">
        <f>MAX(0.02,MIN(0.98,NORMINV(RAND(),$C$13,0.15)))</f>
        <v/>
      </c>
      <c r="I68" s="32">
        <f>MAX(0,NORMINV(RAND(),$C$14,0.033))</f>
        <v/>
      </c>
      <c r="J68" s="33">
        <f>($C$7*$C$8/365)*F68</f>
        <v/>
      </c>
      <c r="K68" s="33">
        <f>$C$7*G68*$C$12*H68</f>
        <v/>
      </c>
      <c r="L68" s="33">
        <f>$C$7*I68*$C$15</f>
        <v/>
      </c>
      <c r="M68" s="33">
        <f>J68-K68-L68</f>
        <v/>
      </c>
    </row>
    <row r="69">
      <c r="E69" s="20" t="n">
        <v>61</v>
      </c>
      <c r="F69" s="32">
        <f>MAX(0.03,MIN(0.18,NORMINV(RAND(),$C$9,$C$10)))</f>
        <v/>
      </c>
      <c r="G69" s="32">
        <f>MAX(0.02,MIN(0.9,NORMINV(RAND(),$C$11,0.10)))</f>
        <v/>
      </c>
      <c r="H69" s="32">
        <f>MAX(0.02,MIN(0.98,NORMINV(RAND(),$C$13,0.15)))</f>
        <v/>
      </c>
      <c r="I69" s="32">
        <f>MAX(0,NORMINV(RAND(),$C$14,0.033))</f>
        <v/>
      </c>
      <c r="J69" s="33">
        <f>($C$7*$C$8/365)*F69</f>
        <v/>
      </c>
      <c r="K69" s="33">
        <f>$C$7*G69*$C$12*H69</f>
        <v/>
      </c>
      <c r="L69" s="33">
        <f>$C$7*I69*$C$15</f>
        <v/>
      </c>
      <c r="M69" s="33">
        <f>J69-K69-L69</f>
        <v/>
      </c>
    </row>
    <row r="70">
      <c r="E70" s="20" t="n">
        <v>62</v>
      </c>
      <c r="F70" s="32">
        <f>MAX(0.03,MIN(0.18,NORMINV(RAND(),$C$9,$C$10)))</f>
        <v/>
      </c>
      <c r="G70" s="32">
        <f>MAX(0.02,MIN(0.9,NORMINV(RAND(),$C$11,0.10)))</f>
        <v/>
      </c>
      <c r="H70" s="32">
        <f>MAX(0.02,MIN(0.98,NORMINV(RAND(),$C$13,0.15)))</f>
        <v/>
      </c>
      <c r="I70" s="32">
        <f>MAX(0,NORMINV(RAND(),$C$14,0.033))</f>
        <v/>
      </c>
      <c r="J70" s="33">
        <f>($C$7*$C$8/365)*F70</f>
        <v/>
      </c>
      <c r="K70" s="33">
        <f>$C$7*G70*$C$12*H70</f>
        <v/>
      </c>
      <c r="L70" s="33">
        <f>$C$7*I70*$C$15</f>
        <v/>
      </c>
      <c r="M70" s="33">
        <f>J70-K70-L70</f>
        <v/>
      </c>
    </row>
    <row r="71">
      <c r="E71" s="20" t="n">
        <v>63</v>
      </c>
      <c r="F71" s="32">
        <f>MAX(0.03,MIN(0.18,NORMINV(RAND(),$C$9,$C$10)))</f>
        <v/>
      </c>
      <c r="G71" s="32">
        <f>MAX(0.02,MIN(0.9,NORMINV(RAND(),$C$11,0.10)))</f>
        <v/>
      </c>
      <c r="H71" s="32">
        <f>MAX(0.02,MIN(0.98,NORMINV(RAND(),$C$13,0.15)))</f>
        <v/>
      </c>
      <c r="I71" s="32">
        <f>MAX(0,NORMINV(RAND(),$C$14,0.033))</f>
        <v/>
      </c>
      <c r="J71" s="33">
        <f>($C$7*$C$8/365)*F71</f>
        <v/>
      </c>
      <c r="K71" s="33">
        <f>$C$7*G71*$C$12*H71</f>
        <v/>
      </c>
      <c r="L71" s="33">
        <f>$C$7*I71*$C$15</f>
        <v/>
      </c>
      <c r="M71" s="33">
        <f>J71-K71-L71</f>
        <v/>
      </c>
    </row>
    <row r="72">
      <c r="E72" s="20" t="n">
        <v>64</v>
      </c>
      <c r="F72" s="32">
        <f>MAX(0.03,MIN(0.18,NORMINV(RAND(),$C$9,$C$10)))</f>
        <v/>
      </c>
      <c r="G72" s="32">
        <f>MAX(0.02,MIN(0.9,NORMINV(RAND(),$C$11,0.10)))</f>
        <v/>
      </c>
      <c r="H72" s="32">
        <f>MAX(0.02,MIN(0.98,NORMINV(RAND(),$C$13,0.15)))</f>
        <v/>
      </c>
      <c r="I72" s="32">
        <f>MAX(0,NORMINV(RAND(),$C$14,0.033))</f>
        <v/>
      </c>
      <c r="J72" s="33">
        <f>($C$7*$C$8/365)*F72</f>
        <v/>
      </c>
      <c r="K72" s="33">
        <f>$C$7*G72*$C$12*H72</f>
        <v/>
      </c>
      <c r="L72" s="33">
        <f>$C$7*I72*$C$15</f>
        <v/>
      </c>
      <c r="M72" s="33">
        <f>J72-K72-L72</f>
        <v/>
      </c>
    </row>
    <row r="73">
      <c r="E73" s="20" t="n">
        <v>65</v>
      </c>
      <c r="F73" s="32">
        <f>MAX(0.03,MIN(0.18,NORMINV(RAND(),$C$9,$C$10)))</f>
        <v/>
      </c>
      <c r="G73" s="32">
        <f>MAX(0.02,MIN(0.9,NORMINV(RAND(),$C$11,0.10)))</f>
        <v/>
      </c>
      <c r="H73" s="32">
        <f>MAX(0.02,MIN(0.98,NORMINV(RAND(),$C$13,0.15)))</f>
        <v/>
      </c>
      <c r="I73" s="32">
        <f>MAX(0,NORMINV(RAND(),$C$14,0.033))</f>
        <v/>
      </c>
      <c r="J73" s="33">
        <f>($C$7*$C$8/365)*F73</f>
        <v/>
      </c>
      <c r="K73" s="33">
        <f>$C$7*G73*$C$12*H73</f>
        <v/>
      </c>
      <c r="L73" s="33">
        <f>$C$7*I73*$C$15</f>
        <v/>
      </c>
      <c r="M73" s="33">
        <f>J73-K73-L73</f>
        <v/>
      </c>
    </row>
    <row r="74">
      <c r="E74" s="20" t="n">
        <v>66</v>
      </c>
      <c r="F74" s="32">
        <f>MAX(0.03,MIN(0.18,NORMINV(RAND(),$C$9,$C$10)))</f>
        <v/>
      </c>
      <c r="G74" s="32">
        <f>MAX(0.02,MIN(0.9,NORMINV(RAND(),$C$11,0.10)))</f>
        <v/>
      </c>
      <c r="H74" s="32">
        <f>MAX(0.02,MIN(0.98,NORMINV(RAND(),$C$13,0.15)))</f>
        <v/>
      </c>
      <c r="I74" s="32">
        <f>MAX(0,NORMINV(RAND(),$C$14,0.033))</f>
        <v/>
      </c>
      <c r="J74" s="33">
        <f>($C$7*$C$8/365)*F74</f>
        <v/>
      </c>
      <c r="K74" s="33">
        <f>$C$7*G74*$C$12*H74</f>
        <v/>
      </c>
      <c r="L74" s="33">
        <f>$C$7*I74*$C$15</f>
        <v/>
      </c>
      <c r="M74" s="33">
        <f>J74-K74-L74</f>
        <v/>
      </c>
    </row>
    <row r="75">
      <c r="E75" s="20" t="n">
        <v>67</v>
      </c>
      <c r="F75" s="32">
        <f>MAX(0.03,MIN(0.18,NORMINV(RAND(),$C$9,$C$10)))</f>
        <v/>
      </c>
      <c r="G75" s="32">
        <f>MAX(0.02,MIN(0.9,NORMINV(RAND(),$C$11,0.10)))</f>
        <v/>
      </c>
      <c r="H75" s="32">
        <f>MAX(0.02,MIN(0.98,NORMINV(RAND(),$C$13,0.15)))</f>
        <v/>
      </c>
      <c r="I75" s="32">
        <f>MAX(0,NORMINV(RAND(),$C$14,0.033))</f>
        <v/>
      </c>
      <c r="J75" s="33">
        <f>($C$7*$C$8/365)*F75</f>
        <v/>
      </c>
      <c r="K75" s="33">
        <f>$C$7*G75*$C$12*H75</f>
        <v/>
      </c>
      <c r="L75" s="33">
        <f>$C$7*I75*$C$15</f>
        <v/>
      </c>
      <c r="M75" s="33">
        <f>J75-K75-L75</f>
        <v/>
      </c>
    </row>
    <row r="76">
      <c r="E76" s="20" t="n">
        <v>68</v>
      </c>
      <c r="F76" s="32">
        <f>MAX(0.03,MIN(0.18,NORMINV(RAND(),$C$9,$C$10)))</f>
        <v/>
      </c>
      <c r="G76" s="32">
        <f>MAX(0.02,MIN(0.9,NORMINV(RAND(),$C$11,0.10)))</f>
        <v/>
      </c>
      <c r="H76" s="32">
        <f>MAX(0.02,MIN(0.98,NORMINV(RAND(),$C$13,0.15)))</f>
        <v/>
      </c>
      <c r="I76" s="32">
        <f>MAX(0,NORMINV(RAND(),$C$14,0.033))</f>
        <v/>
      </c>
      <c r="J76" s="33">
        <f>($C$7*$C$8/365)*F76</f>
        <v/>
      </c>
      <c r="K76" s="33">
        <f>$C$7*G76*$C$12*H76</f>
        <v/>
      </c>
      <c r="L76" s="33">
        <f>$C$7*I76*$C$15</f>
        <v/>
      </c>
      <c r="M76" s="33">
        <f>J76-K76-L76</f>
        <v/>
      </c>
    </row>
    <row r="77">
      <c r="E77" s="20" t="n">
        <v>69</v>
      </c>
      <c r="F77" s="32">
        <f>MAX(0.03,MIN(0.18,NORMINV(RAND(),$C$9,$C$10)))</f>
        <v/>
      </c>
      <c r="G77" s="32">
        <f>MAX(0.02,MIN(0.9,NORMINV(RAND(),$C$11,0.10)))</f>
        <v/>
      </c>
      <c r="H77" s="32">
        <f>MAX(0.02,MIN(0.98,NORMINV(RAND(),$C$13,0.15)))</f>
        <v/>
      </c>
      <c r="I77" s="32">
        <f>MAX(0,NORMINV(RAND(),$C$14,0.033))</f>
        <v/>
      </c>
      <c r="J77" s="33">
        <f>($C$7*$C$8/365)*F77</f>
        <v/>
      </c>
      <c r="K77" s="33">
        <f>$C$7*G77*$C$12*H77</f>
        <v/>
      </c>
      <c r="L77" s="33">
        <f>$C$7*I77*$C$15</f>
        <v/>
      </c>
      <c r="M77" s="33">
        <f>J77-K77-L77</f>
        <v/>
      </c>
    </row>
    <row r="78">
      <c r="E78" s="20" t="n">
        <v>70</v>
      </c>
      <c r="F78" s="32">
        <f>MAX(0.03,MIN(0.18,NORMINV(RAND(),$C$9,$C$10)))</f>
        <v/>
      </c>
      <c r="G78" s="32">
        <f>MAX(0.02,MIN(0.9,NORMINV(RAND(),$C$11,0.10)))</f>
        <v/>
      </c>
      <c r="H78" s="32">
        <f>MAX(0.02,MIN(0.98,NORMINV(RAND(),$C$13,0.15)))</f>
        <v/>
      </c>
      <c r="I78" s="32">
        <f>MAX(0,NORMINV(RAND(),$C$14,0.033))</f>
        <v/>
      </c>
      <c r="J78" s="33">
        <f>($C$7*$C$8/365)*F78</f>
        <v/>
      </c>
      <c r="K78" s="33">
        <f>$C$7*G78*$C$12*H78</f>
        <v/>
      </c>
      <c r="L78" s="33">
        <f>$C$7*I78*$C$15</f>
        <v/>
      </c>
      <c r="M78" s="33">
        <f>J78-K78-L78</f>
        <v/>
      </c>
    </row>
    <row r="79">
      <c r="E79" s="20" t="n">
        <v>71</v>
      </c>
      <c r="F79" s="32">
        <f>MAX(0.03,MIN(0.18,NORMINV(RAND(),$C$9,$C$10)))</f>
        <v/>
      </c>
      <c r="G79" s="32">
        <f>MAX(0.02,MIN(0.9,NORMINV(RAND(),$C$11,0.10)))</f>
        <v/>
      </c>
      <c r="H79" s="32">
        <f>MAX(0.02,MIN(0.98,NORMINV(RAND(),$C$13,0.15)))</f>
        <v/>
      </c>
      <c r="I79" s="32">
        <f>MAX(0,NORMINV(RAND(),$C$14,0.033))</f>
        <v/>
      </c>
      <c r="J79" s="33">
        <f>($C$7*$C$8/365)*F79</f>
        <v/>
      </c>
      <c r="K79" s="33">
        <f>$C$7*G79*$C$12*H79</f>
        <v/>
      </c>
      <c r="L79" s="33">
        <f>$C$7*I79*$C$15</f>
        <v/>
      </c>
      <c r="M79" s="33">
        <f>J79-K79-L79</f>
        <v/>
      </c>
    </row>
    <row r="80">
      <c r="E80" s="20" t="n">
        <v>72</v>
      </c>
      <c r="F80" s="32">
        <f>MAX(0.03,MIN(0.18,NORMINV(RAND(),$C$9,$C$10)))</f>
        <v/>
      </c>
      <c r="G80" s="32">
        <f>MAX(0.02,MIN(0.9,NORMINV(RAND(),$C$11,0.10)))</f>
        <v/>
      </c>
      <c r="H80" s="32">
        <f>MAX(0.02,MIN(0.98,NORMINV(RAND(),$C$13,0.15)))</f>
        <v/>
      </c>
      <c r="I80" s="32">
        <f>MAX(0,NORMINV(RAND(),$C$14,0.033))</f>
        <v/>
      </c>
      <c r="J80" s="33">
        <f>($C$7*$C$8/365)*F80</f>
        <v/>
      </c>
      <c r="K80" s="33">
        <f>$C$7*G80*$C$12*H80</f>
        <v/>
      </c>
      <c r="L80" s="33">
        <f>$C$7*I80*$C$15</f>
        <v/>
      </c>
      <c r="M80" s="33">
        <f>J80-K80-L80</f>
        <v/>
      </c>
    </row>
    <row r="81">
      <c r="E81" s="20" t="n">
        <v>73</v>
      </c>
      <c r="F81" s="32">
        <f>MAX(0.03,MIN(0.18,NORMINV(RAND(),$C$9,$C$10)))</f>
        <v/>
      </c>
      <c r="G81" s="32">
        <f>MAX(0.02,MIN(0.9,NORMINV(RAND(),$C$11,0.10)))</f>
        <v/>
      </c>
      <c r="H81" s="32">
        <f>MAX(0.02,MIN(0.98,NORMINV(RAND(),$C$13,0.15)))</f>
        <v/>
      </c>
      <c r="I81" s="32">
        <f>MAX(0,NORMINV(RAND(),$C$14,0.033))</f>
        <v/>
      </c>
      <c r="J81" s="33">
        <f>($C$7*$C$8/365)*F81</f>
        <v/>
      </c>
      <c r="K81" s="33">
        <f>$C$7*G81*$C$12*H81</f>
        <v/>
      </c>
      <c r="L81" s="33">
        <f>$C$7*I81*$C$15</f>
        <v/>
      </c>
      <c r="M81" s="33">
        <f>J81-K81-L81</f>
        <v/>
      </c>
    </row>
    <row r="82">
      <c r="E82" s="20" t="n">
        <v>74</v>
      </c>
      <c r="F82" s="32">
        <f>MAX(0.03,MIN(0.18,NORMINV(RAND(),$C$9,$C$10)))</f>
        <v/>
      </c>
      <c r="G82" s="32">
        <f>MAX(0.02,MIN(0.9,NORMINV(RAND(),$C$11,0.10)))</f>
        <v/>
      </c>
      <c r="H82" s="32">
        <f>MAX(0.02,MIN(0.98,NORMINV(RAND(),$C$13,0.15)))</f>
        <v/>
      </c>
      <c r="I82" s="32">
        <f>MAX(0,NORMINV(RAND(),$C$14,0.033))</f>
        <v/>
      </c>
      <c r="J82" s="33">
        <f>($C$7*$C$8/365)*F82</f>
        <v/>
      </c>
      <c r="K82" s="33">
        <f>$C$7*G82*$C$12*H82</f>
        <v/>
      </c>
      <c r="L82" s="33">
        <f>$C$7*I82*$C$15</f>
        <v/>
      </c>
      <c r="M82" s="33">
        <f>J82-K82-L82</f>
        <v/>
      </c>
    </row>
    <row r="83">
      <c r="E83" s="20" t="n">
        <v>75</v>
      </c>
      <c r="F83" s="32">
        <f>MAX(0.03,MIN(0.18,NORMINV(RAND(),$C$9,$C$10)))</f>
        <v/>
      </c>
      <c r="G83" s="32">
        <f>MAX(0.02,MIN(0.9,NORMINV(RAND(),$C$11,0.10)))</f>
        <v/>
      </c>
      <c r="H83" s="32">
        <f>MAX(0.02,MIN(0.98,NORMINV(RAND(),$C$13,0.15)))</f>
        <v/>
      </c>
      <c r="I83" s="32">
        <f>MAX(0,NORMINV(RAND(),$C$14,0.033))</f>
        <v/>
      </c>
      <c r="J83" s="33">
        <f>($C$7*$C$8/365)*F83</f>
        <v/>
      </c>
      <c r="K83" s="33">
        <f>$C$7*G83*$C$12*H83</f>
        <v/>
      </c>
      <c r="L83" s="33">
        <f>$C$7*I83*$C$15</f>
        <v/>
      </c>
      <c r="M83" s="33">
        <f>J83-K83-L83</f>
        <v/>
      </c>
    </row>
    <row r="84">
      <c r="E84" s="20" t="n">
        <v>76</v>
      </c>
      <c r="F84" s="32">
        <f>MAX(0.03,MIN(0.18,NORMINV(RAND(),$C$9,$C$10)))</f>
        <v/>
      </c>
      <c r="G84" s="32">
        <f>MAX(0.02,MIN(0.9,NORMINV(RAND(),$C$11,0.10)))</f>
        <v/>
      </c>
      <c r="H84" s="32">
        <f>MAX(0.02,MIN(0.98,NORMINV(RAND(),$C$13,0.15)))</f>
        <v/>
      </c>
      <c r="I84" s="32">
        <f>MAX(0,NORMINV(RAND(),$C$14,0.033))</f>
        <v/>
      </c>
      <c r="J84" s="33">
        <f>($C$7*$C$8/365)*F84</f>
        <v/>
      </c>
      <c r="K84" s="33">
        <f>$C$7*G84*$C$12*H84</f>
        <v/>
      </c>
      <c r="L84" s="33">
        <f>$C$7*I84*$C$15</f>
        <v/>
      </c>
      <c r="M84" s="33">
        <f>J84-K84-L84</f>
        <v/>
      </c>
    </row>
    <row r="85">
      <c r="E85" s="20" t="n">
        <v>77</v>
      </c>
      <c r="F85" s="32">
        <f>MAX(0.03,MIN(0.18,NORMINV(RAND(),$C$9,$C$10)))</f>
        <v/>
      </c>
      <c r="G85" s="32">
        <f>MAX(0.02,MIN(0.9,NORMINV(RAND(),$C$11,0.10)))</f>
        <v/>
      </c>
      <c r="H85" s="32">
        <f>MAX(0.02,MIN(0.98,NORMINV(RAND(),$C$13,0.15)))</f>
        <v/>
      </c>
      <c r="I85" s="32">
        <f>MAX(0,NORMINV(RAND(),$C$14,0.033))</f>
        <v/>
      </c>
      <c r="J85" s="33">
        <f>($C$7*$C$8/365)*F85</f>
        <v/>
      </c>
      <c r="K85" s="33">
        <f>$C$7*G85*$C$12*H85</f>
        <v/>
      </c>
      <c r="L85" s="33">
        <f>$C$7*I85*$C$15</f>
        <v/>
      </c>
      <c r="M85" s="33">
        <f>J85-K85-L85</f>
        <v/>
      </c>
    </row>
    <row r="86">
      <c r="E86" s="20" t="n">
        <v>78</v>
      </c>
      <c r="F86" s="32">
        <f>MAX(0.03,MIN(0.18,NORMINV(RAND(),$C$9,$C$10)))</f>
        <v/>
      </c>
      <c r="G86" s="32">
        <f>MAX(0.02,MIN(0.9,NORMINV(RAND(),$C$11,0.10)))</f>
        <v/>
      </c>
      <c r="H86" s="32">
        <f>MAX(0.02,MIN(0.98,NORMINV(RAND(),$C$13,0.15)))</f>
        <v/>
      </c>
      <c r="I86" s="32">
        <f>MAX(0,NORMINV(RAND(),$C$14,0.033))</f>
        <v/>
      </c>
      <c r="J86" s="33">
        <f>($C$7*$C$8/365)*F86</f>
        <v/>
      </c>
      <c r="K86" s="33">
        <f>$C$7*G86*$C$12*H86</f>
        <v/>
      </c>
      <c r="L86" s="33">
        <f>$C$7*I86*$C$15</f>
        <v/>
      </c>
      <c r="M86" s="33">
        <f>J86-K86-L86</f>
        <v/>
      </c>
    </row>
    <row r="87">
      <c r="E87" s="20" t="n">
        <v>79</v>
      </c>
      <c r="F87" s="32">
        <f>MAX(0.03,MIN(0.18,NORMINV(RAND(),$C$9,$C$10)))</f>
        <v/>
      </c>
      <c r="G87" s="32">
        <f>MAX(0.02,MIN(0.9,NORMINV(RAND(),$C$11,0.10)))</f>
        <v/>
      </c>
      <c r="H87" s="32">
        <f>MAX(0.02,MIN(0.98,NORMINV(RAND(),$C$13,0.15)))</f>
        <v/>
      </c>
      <c r="I87" s="32">
        <f>MAX(0,NORMINV(RAND(),$C$14,0.033))</f>
        <v/>
      </c>
      <c r="J87" s="33">
        <f>($C$7*$C$8/365)*F87</f>
        <v/>
      </c>
      <c r="K87" s="33">
        <f>$C$7*G87*$C$12*H87</f>
        <v/>
      </c>
      <c r="L87" s="33">
        <f>$C$7*I87*$C$15</f>
        <v/>
      </c>
      <c r="M87" s="33">
        <f>J87-K87-L87</f>
        <v/>
      </c>
    </row>
    <row r="88">
      <c r="E88" s="20" t="n">
        <v>80</v>
      </c>
      <c r="F88" s="32">
        <f>MAX(0.03,MIN(0.18,NORMINV(RAND(),$C$9,$C$10)))</f>
        <v/>
      </c>
      <c r="G88" s="32">
        <f>MAX(0.02,MIN(0.9,NORMINV(RAND(),$C$11,0.10)))</f>
        <v/>
      </c>
      <c r="H88" s="32">
        <f>MAX(0.02,MIN(0.98,NORMINV(RAND(),$C$13,0.15)))</f>
        <v/>
      </c>
      <c r="I88" s="32">
        <f>MAX(0,NORMINV(RAND(),$C$14,0.033))</f>
        <v/>
      </c>
      <c r="J88" s="33">
        <f>($C$7*$C$8/365)*F88</f>
        <v/>
      </c>
      <c r="K88" s="33">
        <f>$C$7*G88*$C$12*H88</f>
        <v/>
      </c>
      <c r="L88" s="33">
        <f>$C$7*I88*$C$15</f>
        <v/>
      </c>
      <c r="M88" s="33">
        <f>J88-K88-L88</f>
        <v/>
      </c>
    </row>
    <row r="89">
      <c r="E89" s="20" t="n">
        <v>81</v>
      </c>
      <c r="F89" s="32">
        <f>MAX(0.03,MIN(0.18,NORMINV(RAND(),$C$9,$C$10)))</f>
        <v/>
      </c>
      <c r="G89" s="32">
        <f>MAX(0.02,MIN(0.9,NORMINV(RAND(),$C$11,0.10)))</f>
        <v/>
      </c>
      <c r="H89" s="32">
        <f>MAX(0.02,MIN(0.98,NORMINV(RAND(),$C$13,0.15)))</f>
        <v/>
      </c>
      <c r="I89" s="32">
        <f>MAX(0,NORMINV(RAND(),$C$14,0.033))</f>
        <v/>
      </c>
      <c r="J89" s="33">
        <f>($C$7*$C$8/365)*F89</f>
        <v/>
      </c>
      <c r="K89" s="33">
        <f>$C$7*G89*$C$12*H89</f>
        <v/>
      </c>
      <c r="L89" s="33">
        <f>$C$7*I89*$C$15</f>
        <v/>
      </c>
      <c r="M89" s="33">
        <f>J89-K89-L89</f>
        <v/>
      </c>
    </row>
    <row r="90">
      <c r="E90" s="20" t="n">
        <v>82</v>
      </c>
      <c r="F90" s="32">
        <f>MAX(0.03,MIN(0.18,NORMINV(RAND(),$C$9,$C$10)))</f>
        <v/>
      </c>
      <c r="G90" s="32">
        <f>MAX(0.02,MIN(0.9,NORMINV(RAND(),$C$11,0.10)))</f>
        <v/>
      </c>
      <c r="H90" s="32">
        <f>MAX(0.02,MIN(0.98,NORMINV(RAND(),$C$13,0.15)))</f>
        <v/>
      </c>
      <c r="I90" s="32">
        <f>MAX(0,NORMINV(RAND(),$C$14,0.033))</f>
        <v/>
      </c>
      <c r="J90" s="33">
        <f>($C$7*$C$8/365)*F90</f>
        <v/>
      </c>
      <c r="K90" s="33">
        <f>$C$7*G90*$C$12*H90</f>
        <v/>
      </c>
      <c r="L90" s="33">
        <f>$C$7*I90*$C$15</f>
        <v/>
      </c>
      <c r="M90" s="33">
        <f>J90-K90-L90</f>
        <v/>
      </c>
    </row>
    <row r="91">
      <c r="E91" s="20" t="n">
        <v>83</v>
      </c>
      <c r="F91" s="32">
        <f>MAX(0.03,MIN(0.18,NORMINV(RAND(),$C$9,$C$10)))</f>
        <v/>
      </c>
      <c r="G91" s="32">
        <f>MAX(0.02,MIN(0.9,NORMINV(RAND(),$C$11,0.10)))</f>
        <v/>
      </c>
      <c r="H91" s="32">
        <f>MAX(0.02,MIN(0.98,NORMINV(RAND(),$C$13,0.15)))</f>
        <v/>
      </c>
      <c r="I91" s="32">
        <f>MAX(0,NORMINV(RAND(),$C$14,0.033))</f>
        <v/>
      </c>
      <c r="J91" s="33">
        <f>($C$7*$C$8/365)*F91</f>
        <v/>
      </c>
      <c r="K91" s="33">
        <f>$C$7*G91*$C$12*H91</f>
        <v/>
      </c>
      <c r="L91" s="33">
        <f>$C$7*I91*$C$15</f>
        <v/>
      </c>
      <c r="M91" s="33">
        <f>J91-K91-L91</f>
        <v/>
      </c>
    </row>
    <row r="92">
      <c r="E92" s="20" t="n">
        <v>84</v>
      </c>
      <c r="F92" s="32">
        <f>MAX(0.03,MIN(0.18,NORMINV(RAND(),$C$9,$C$10)))</f>
        <v/>
      </c>
      <c r="G92" s="32">
        <f>MAX(0.02,MIN(0.9,NORMINV(RAND(),$C$11,0.10)))</f>
        <v/>
      </c>
      <c r="H92" s="32">
        <f>MAX(0.02,MIN(0.98,NORMINV(RAND(),$C$13,0.15)))</f>
        <v/>
      </c>
      <c r="I92" s="32">
        <f>MAX(0,NORMINV(RAND(),$C$14,0.033))</f>
        <v/>
      </c>
      <c r="J92" s="33">
        <f>($C$7*$C$8/365)*F92</f>
        <v/>
      </c>
      <c r="K92" s="33">
        <f>$C$7*G92*$C$12*H92</f>
        <v/>
      </c>
      <c r="L92" s="33">
        <f>$C$7*I92*$C$15</f>
        <v/>
      </c>
      <c r="M92" s="33">
        <f>J92-K92-L92</f>
        <v/>
      </c>
    </row>
    <row r="93">
      <c r="E93" s="20" t="n">
        <v>85</v>
      </c>
      <c r="F93" s="32">
        <f>MAX(0.03,MIN(0.18,NORMINV(RAND(),$C$9,$C$10)))</f>
        <v/>
      </c>
      <c r="G93" s="32">
        <f>MAX(0.02,MIN(0.9,NORMINV(RAND(),$C$11,0.10)))</f>
        <v/>
      </c>
      <c r="H93" s="32">
        <f>MAX(0.02,MIN(0.98,NORMINV(RAND(),$C$13,0.15)))</f>
        <v/>
      </c>
      <c r="I93" s="32">
        <f>MAX(0,NORMINV(RAND(),$C$14,0.033))</f>
        <v/>
      </c>
      <c r="J93" s="33">
        <f>($C$7*$C$8/365)*F93</f>
        <v/>
      </c>
      <c r="K93" s="33">
        <f>$C$7*G93*$C$12*H93</f>
        <v/>
      </c>
      <c r="L93" s="33">
        <f>$C$7*I93*$C$15</f>
        <v/>
      </c>
      <c r="M93" s="33">
        <f>J93-K93-L93</f>
        <v/>
      </c>
    </row>
    <row r="94">
      <c r="E94" s="20" t="n">
        <v>86</v>
      </c>
      <c r="F94" s="32">
        <f>MAX(0.03,MIN(0.18,NORMINV(RAND(),$C$9,$C$10)))</f>
        <v/>
      </c>
      <c r="G94" s="32">
        <f>MAX(0.02,MIN(0.9,NORMINV(RAND(),$C$11,0.10)))</f>
        <v/>
      </c>
      <c r="H94" s="32">
        <f>MAX(0.02,MIN(0.98,NORMINV(RAND(),$C$13,0.15)))</f>
        <v/>
      </c>
      <c r="I94" s="32">
        <f>MAX(0,NORMINV(RAND(),$C$14,0.033))</f>
        <v/>
      </c>
      <c r="J94" s="33">
        <f>($C$7*$C$8/365)*F94</f>
        <v/>
      </c>
      <c r="K94" s="33">
        <f>$C$7*G94*$C$12*H94</f>
        <v/>
      </c>
      <c r="L94" s="33">
        <f>$C$7*I94*$C$15</f>
        <v/>
      </c>
      <c r="M94" s="33">
        <f>J94-K94-L94</f>
        <v/>
      </c>
    </row>
    <row r="95">
      <c r="E95" s="20" t="n">
        <v>87</v>
      </c>
      <c r="F95" s="32">
        <f>MAX(0.03,MIN(0.18,NORMINV(RAND(),$C$9,$C$10)))</f>
        <v/>
      </c>
      <c r="G95" s="32">
        <f>MAX(0.02,MIN(0.9,NORMINV(RAND(),$C$11,0.10)))</f>
        <v/>
      </c>
      <c r="H95" s="32">
        <f>MAX(0.02,MIN(0.98,NORMINV(RAND(),$C$13,0.15)))</f>
        <v/>
      </c>
      <c r="I95" s="32">
        <f>MAX(0,NORMINV(RAND(),$C$14,0.033))</f>
        <v/>
      </c>
      <c r="J95" s="33">
        <f>($C$7*$C$8/365)*F95</f>
        <v/>
      </c>
      <c r="K95" s="33">
        <f>$C$7*G95*$C$12*H95</f>
        <v/>
      </c>
      <c r="L95" s="33">
        <f>$C$7*I95*$C$15</f>
        <v/>
      </c>
      <c r="M95" s="33">
        <f>J95-K95-L95</f>
        <v/>
      </c>
    </row>
    <row r="96">
      <c r="E96" s="20" t="n">
        <v>88</v>
      </c>
      <c r="F96" s="32">
        <f>MAX(0.03,MIN(0.18,NORMINV(RAND(),$C$9,$C$10)))</f>
        <v/>
      </c>
      <c r="G96" s="32">
        <f>MAX(0.02,MIN(0.9,NORMINV(RAND(),$C$11,0.10)))</f>
        <v/>
      </c>
      <c r="H96" s="32">
        <f>MAX(0.02,MIN(0.98,NORMINV(RAND(),$C$13,0.15)))</f>
        <v/>
      </c>
      <c r="I96" s="32">
        <f>MAX(0,NORMINV(RAND(),$C$14,0.033))</f>
        <v/>
      </c>
      <c r="J96" s="33">
        <f>($C$7*$C$8/365)*F96</f>
        <v/>
      </c>
      <c r="K96" s="33">
        <f>$C$7*G96*$C$12*H96</f>
        <v/>
      </c>
      <c r="L96" s="33">
        <f>$C$7*I96*$C$15</f>
        <v/>
      </c>
      <c r="M96" s="33">
        <f>J96-K96-L96</f>
        <v/>
      </c>
    </row>
    <row r="97">
      <c r="E97" s="20" t="n">
        <v>89</v>
      </c>
      <c r="F97" s="32">
        <f>MAX(0.03,MIN(0.18,NORMINV(RAND(),$C$9,$C$10)))</f>
        <v/>
      </c>
      <c r="G97" s="32">
        <f>MAX(0.02,MIN(0.9,NORMINV(RAND(),$C$11,0.10)))</f>
        <v/>
      </c>
      <c r="H97" s="32">
        <f>MAX(0.02,MIN(0.98,NORMINV(RAND(),$C$13,0.15)))</f>
        <v/>
      </c>
      <c r="I97" s="32">
        <f>MAX(0,NORMINV(RAND(),$C$14,0.033))</f>
        <v/>
      </c>
      <c r="J97" s="33">
        <f>($C$7*$C$8/365)*F97</f>
        <v/>
      </c>
      <c r="K97" s="33">
        <f>$C$7*G97*$C$12*H97</f>
        <v/>
      </c>
      <c r="L97" s="33">
        <f>$C$7*I97*$C$15</f>
        <v/>
      </c>
      <c r="M97" s="33">
        <f>J97-K97-L97</f>
        <v/>
      </c>
    </row>
    <row r="98">
      <c r="E98" s="20" t="n">
        <v>90</v>
      </c>
      <c r="F98" s="32">
        <f>MAX(0.03,MIN(0.18,NORMINV(RAND(),$C$9,$C$10)))</f>
        <v/>
      </c>
      <c r="G98" s="32">
        <f>MAX(0.02,MIN(0.9,NORMINV(RAND(),$C$11,0.10)))</f>
        <v/>
      </c>
      <c r="H98" s="32">
        <f>MAX(0.02,MIN(0.98,NORMINV(RAND(),$C$13,0.15)))</f>
        <v/>
      </c>
      <c r="I98" s="32">
        <f>MAX(0,NORMINV(RAND(),$C$14,0.033))</f>
        <v/>
      </c>
      <c r="J98" s="33">
        <f>($C$7*$C$8/365)*F98</f>
        <v/>
      </c>
      <c r="K98" s="33">
        <f>$C$7*G98*$C$12*H98</f>
        <v/>
      </c>
      <c r="L98" s="33">
        <f>$C$7*I98*$C$15</f>
        <v/>
      </c>
      <c r="M98" s="33">
        <f>J98-K98-L98</f>
        <v/>
      </c>
    </row>
    <row r="99">
      <c r="E99" s="20" t="n">
        <v>91</v>
      </c>
      <c r="F99" s="32">
        <f>MAX(0.03,MIN(0.18,NORMINV(RAND(),$C$9,$C$10)))</f>
        <v/>
      </c>
      <c r="G99" s="32">
        <f>MAX(0.02,MIN(0.9,NORMINV(RAND(),$C$11,0.10)))</f>
        <v/>
      </c>
      <c r="H99" s="32">
        <f>MAX(0.02,MIN(0.98,NORMINV(RAND(),$C$13,0.15)))</f>
        <v/>
      </c>
      <c r="I99" s="32">
        <f>MAX(0,NORMINV(RAND(),$C$14,0.033))</f>
        <v/>
      </c>
      <c r="J99" s="33">
        <f>($C$7*$C$8/365)*F99</f>
        <v/>
      </c>
      <c r="K99" s="33">
        <f>$C$7*G99*$C$12*H99</f>
        <v/>
      </c>
      <c r="L99" s="33">
        <f>$C$7*I99*$C$15</f>
        <v/>
      </c>
      <c r="M99" s="33">
        <f>J99-K99-L99</f>
        <v/>
      </c>
    </row>
    <row r="100">
      <c r="E100" s="20" t="n">
        <v>92</v>
      </c>
      <c r="F100" s="32">
        <f>MAX(0.03,MIN(0.18,NORMINV(RAND(),$C$9,$C$10)))</f>
        <v/>
      </c>
      <c r="G100" s="32">
        <f>MAX(0.02,MIN(0.9,NORMINV(RAND(),$C$11,0.10)))</f>
        <v/>
      </c>
      <c r="H100" s="32">
        <f>MAX(0.02,MIN(0.98,NORMINV(RAND(),$C$13,0.15)))</f>
        <v/>
      </c>
      <c r="I100" s="32">
        <f>MAX(0,NORMINV(RAND(),$C$14,0.033))</f>
        <v/>
      </c>
      <c r="J100" s="33">
        <f>($C$7*$C$8/365)*F100</f>
        <v/>
      </c>
      <c r="K100" s="33">
        <f>$C$7*G100*$C$12*H100</f>
        <v/>
      </c>
      <c r="L100" s="33">
        <f>$C$7*I100*$C$15</f>
        <v/>
      </c>
      <c r="M100" s="33">
        <f>J100-K100-L100</f>
        <v/>
      </c>
    </row>
    <row r="101">
      <c r="E101" s="20" t="n">
        <v>93</v>
      </c>
      <c r="F101" s="32">
        <f>MAX(0.03,MIN(0.18,NORMINV(RAND(),$C$9,$C$10)))</f>
        <v/>
      </c>
      <c r="G101" s="32">
        <f>MAX(0.02,MIN(0.9,NORMINV(RAND(),$C$11,0.10)))</f>
        <v/>
      </c>
      <c r="H101" s="32">
        <f>MAX(0.02,MIN(0.98,NORMINV(RAND(),$C$13,0.15)))</f>
        <v/>
      </c>
      <c r="I101" s="32">
        <f>MAX(0,NORMINV(RAND(),$C$14,0.033))</f>
        <v/>
      </c>
      <c r="J101" s="33">
        <f>($C$7*$C$8/365)*F101</f>
        <v/>
      </c>
      <c r="K101" s="33">
        <f>$C$7*G101*$C$12*H101</f>
        <v/>
      </c>
      <c r="L101" s="33">
        <f>$C$7*I101*$C$15</f>
        <v/>
      </c>
      <c r="M101" s="33">
        <f>J101-K101-L101</f>
        <v/>
      </c>
    </row>
    <row r="102">
      <c r="E102" s="20" t="n">
        <v>94</v>
      </c>
      <c r="F102" s="32">
        <f>MAX(0.03,MIN(0.18,NORMINV(RAND(),$C$9,$C$10)))</f>
        <v/>
      </c>
      <c r="G102" s="32">
        <f>MAX(0.02,MIN(0.9,NORMINV(RAND(),$C$11,0.10)))</f>
        <v/>
      </c>
      <c r="H102" s="32">
        <f>MAX(0.02,MIN(0.98,NORMINV(RAND(),$C$13,0.15)))</f>
        <v/>
      </c>
      <c r="I102" s="32">
        <f>MAX(0,NORMINV(RAND(),$C$14,0.033))</f>
        <v/>
      </c>
      <c r="J102" s="33">
        <f>($C$7*$C$8/365)*F102</f>
        <v/>
      </c>
      <c r="K102" s="33">
        <f>$C$7*G102*$C$12*H102</f>
        <v/>
      </c>
      <c r="L102" s="33">
        <f>$C$7*I102*$C$15</f>
        <v/>
      </c>
      <c r="M102" s="33">
        <f>J102-K102-L102</f>
        <v/>
      </c>
    </row>
    <row r="103">
      <c r="E103" s="20" t="n">
        <v>95</v>
      </c>
      <c r="F103" s="32">
        <f>MAX(0.03,MIN(0.18,NORMINV(RAND(),$C$9,$C$10)))</f>
        <v/>
      </c>
      <c r="G103" s="32">
        <f>MAX(0.02,MIN(0.9,NORMINV(RAND(),$C$11,0.10)))</f>
        <v/>
      </c>
      <c r="H103" s="32">
        <f>MAX(0.02,MIN(0.98,NORMINV(RAND(),$C$13,0.15)))</f>
        <v/>
      </c>
      <c r="I103" s="32">
        <f>MAX(0,NORMINV(RAND(),$C$14,0.033))</f>
        <v/>
      </c>
      <c r="J103" s="33">
        <f>($C$7*$C$8/365)*F103</f>
        <v/>
      </c>
      <c r="K103" s="33">
        <f>$C$7*G103*$C$12*H103</f>
        <v/>
      </c>
      <c r="L103" s="33">
        <f>$C$7*I103*$C$15</f>
        <v/>
      </c>
      <c r="M103" s="33">
        <f>J103-K103-L103</f>
        <v/>
      </c>
    </row>
    <row r="104">
      <c r="E104" s="20" t="n">
        <v>96</v>
      </c>
      <c r="F104" s="32">
        <f>MAX(0.03,MIN(0.18,NORMINV(RAND(),$C$9,$C$10)))</f>
        <v/>
      </c>
      <c r="G104" s="32">
        <f>MAX(0.02,MIN(0.9,NORMINV(RAND(),$C$11,0.10)))</f>
        <v/>
      </c>
      <c r="H104" s="32">
        <f>MAX(0.02,MIN(0.98,NORMINV(RAND(),$C$13,0.15)))</f>
        <v/>
      </c>
      <c r="I104" s="32">
        <f>MAX(0,NORMINV(RAND(),$C$14,0.033))</f>
        <v/>
      </c>
      <c r="J104" s="33">
        <f>($C$7*$C$8/365)*F104</f>
        <v/>
      </c>
      <c r="K104" s="33">
        <f>$C$7*G104*$C$12*H104</f>
        <v/>
      </c>
      <c r="L104" s="33">
        <f>$C$7*I104*$C$15</f>
        <v/>
      </c>
      <c r="M104" s="33">
        <f>J104-K104-L104</f>
        <v/>
      </c>
    </row>
    <row r="105">
      <c r="E105" s="20" t="n">
        <v>97</v>
      </c>
      <c r="F105" s="32">
        <f>MAX(0.03,MIN(0.18,NORMINV(RAND(),$C$9,$C$10)))</f>
        <v/>
      </c>
      <c r="G105" s="32">
        <f>MAX(0.02,MIN(0.9,NORMINV(RAND(),$C$11,0.10)))</f>
        <v/>
      </c>
      <c r="H105" s="32">
        <f>MAX(0.02,MIN(0.98,NORMINV(RAND(),$C$13,0.15)))</f>
        <v/>
      </c>
      <c r="I105" s="32">
        <f>MAX(0,NORMINV(RAND(),$C$14,0.033))</f>
        <v/>
      </c>
      <c r="J105" s="33">
        <f>($C$7*$C$8/365)*F105</f>
        <v/>
      </c>
      <c r="K105" s="33">
        <f>$C$7*G105*$C$12*H105</f>
        <v/>
      </c>
      <c r="L105" s="33">
        <f>$C$7*I105*$C$15</f>
        <v/>
      </c>
      <c r="M105" s="33">
        <f>J105-K105-L105</f>
        <v/>
      </c>
    </row>
    <row r="106">
      <c r="E106" s="20" t="n">
        <v>98</v>
      </c>
      <c r="F106" s="32">
        <f>MAX(0.03,MIN(0.18,NORMINV(RAND(),$C$9,$C$10)))</f>
        <v/>
      </c>
      <c r="G106" s="32">
        <f>MAX(0.02,MIN(0.9,NORMINV(RAND(),$C$11,0.10)))</f>
        <v/>
      </c>
      <c r="H106" s="32">
        <f>MAX(0.02,MIN(0.98,NORMINV(RAND(),$C$13,0.15)))</f>
        <v/>
      </c>
      <c r="I106" s="32">
        <f>MAX(0,NORMINV(RAND(),$C$14,0.033))</f>
        <v/>
      </c>
      <c r="J106" s="33">
        <f>($C$7*$C$8/365)*F106</f>
        <v/>
      </c>
      <c r="K106" s="33">
        <f>$C$7*G106*$C$12*H106</f>
        <v/>
      </c>
      <c r="L106" s="33">
        <f>$C$7*I106*$C$15</f>
        <v/>
      </c>
      <c r="M106" s="33">
        <f>J106-K106-L106</f>
        <v/>
      </c>
    </row>
    <row r="107">
      <c r="E107" s="20" t="n">
        <v>99</v>
      </c>
      <c r="F107" s="32">
        <f>MAX(0.03,MIN(0.18,NORMINV(RAND(),$C$9,$C$10)))</f>
        <v/>
      </c>
      <c r="G107" s="32">
        <f>MAX(0.02,MIN(0.9,NORMINV(RAND(),$C$11,0.10)))</f>
        <v/>
      </c>
      <c r="H107" s="32">
        <f>MAX(0.02,MIN(0.98,NORMINV(RAND(),$C$13,0.15)))</f>
        <v/>
      </c>
      <c r="I107" s="32">
        <f>MAX(0,NORMINV(RAND(),$C$14,0.033))</f>
        <v/>
      </c>
      <c r="J107" s="33">
        <f>($C$7*$C$8/365)*F107</f>
        <v/>
      </c>
      <c r="K107" s="33">
        <f>$C$7*G107*$C$12*H107</f>
        <v/>
      </c>
      <c r="L107" s="33">
        <f>$C$7*I107*$C$15</f>
        <v/>
      </c>
      <c r="M107" s="33">
        <f>J107-K107-L107</f>
        <v/>
      </c>
    </row>
    <row r="108">
      <c r="E108" s="20" t="n">
        <v>100</v>
      </c>
      <c r="F108" s="32">
        <f>MAX(0.03,MIN(0.18,NORMINV(RAND(),$C$9,$C$10)))</f>
        <v/>
      </c>
      <c r="G108" s="32">
        <f>MAX(0.02,MIN(0.9,NORMINV(RAND(),$C$11,0.10)))</f>
        <v/>
      </c>
      <c r="H108" s="32">
        <f>MAX(0.02,MIN(0.98,NORMINV(RAND(),$C$13,0.15)))</f>
        <v/>
      </c>
      <c r="I108" s="32">
        <f>MAX(0,NORMINV(RAND(),$C$14,0.033))</f>
        <v/>
      </c>
      <c r="J108" s="33">
        <f>($C$7*$C$8/365)*F108</f>
        <v/>
      </c>
      <c r="K108" s="33">
        <f>$C$7*G108*$C$12*H108</f>
        <v/>
      </c>
      <c r="L108" s="33">
        <f>$C$7*I108*$C$15</f>
        <v/>
      </c>
      <c r="M108" s="33">
        <f>J108-K108-L108</f>
        <v/>
      </c>
    </row>
    <row r="109">
      <c r="E109" s="20" t="n">
        <v>101</v>
      </c>
      <c r="F109" s="32">
        <f>MAX(0.03,MIN(0.18,NORMINV(RAND(),$C$9,$C$10)))</f>
        <v/>
      </c>
      <c r="G109" s="32">
        <f>MAX(0.02,MIN(0.9,NORMINV(RAND(),$C$11,0.10)))</f>
        <v/>
      </c>
      <c r="H109" s="32">
        <f>MAX(0.02,MIN(0.98,NORMINV(RAND(),$C$13,0.15)))</f>
        <v/>
      </c>
      <c r="I109" s="32">
        <f>MAX(0,NORMINV(RAND(),$C$14,0.033))</f>
        <v/>
      </c>
      <c r="J109" s="33">
        <f>($C$7*$C$8/365)*F109</f>
        <v/>
      </c>
      <c r="K109" s="33">
        <f>$C$7*G109*$C$12*H109</f>
        <v/>
      </c>
      <c r="L109" s="33">
        <f>$C$7*I109*$C$15</f>
        <v/>
      </c>
      <c r="M109" s="33">
        <f>J109-K109-L109</f>
        <v/>
      </c>
    </row>
    <row r="110">
      <c r="E110" s="20" t="n">
        <v>102</v>
      </c>
      <c r="F110" s="32">
        <f>MAX(0.03,MIN(0.18,NORMINV(RAND(),$C$9,$C$10)))</f>
        <v/>
      </c>
      <c r="G110" s="32">
        <f>MAX(0.02,MIN(0.9,NORMINV(RAND(),$C$11,0.10)))</f>
        <v/>
      </c>
      <c r="H110" s="32">
        <f>MAX(0.02,MIN(0.98,NORMINV(RAND(),$C$13,0.15)))</f>
        <v/>
      </c>
      <c r="I110" s="32">
        <f>MAX(0,NORMINV(RAND(),$C$14,0.033))</f>
        <v/>
      </c>
      <c r="J110" s="33">
        <f>($C$7*$C$8/365)*F110</f>
        <v/>
      </c>
      <c r="K110" s="33">
        <f>$C$7*G110*$C$12*H110</f>
        <v/>
      </c>
      <c r="L110" s="33">
        <f>$C$7*I110*$C$15</f>
        <v/>
      </c>
      <c r="M110" s="33">
        <f>J110-K110-L110</f>
        <v/>
      </c>
    </row>
    <row r="111">
      <c r="E111" s="20" t="n">
        <v>103</v>
      </c>
      <c r="F111" s="32">
        <f>MAX(0.03,MIN(0.18,NORMINV(RAND(),$C$9,$C$10)))</f>
        <v/>
      </c>
      <c r="G111" s="32">
        <f>MAX(0.02,MIN(0.9,NORMINV(RAND(),$C$11,0.10)))</f>
        <v/>
      </c>
      <c r="H111" s="32">
        <f>MAX(0.02,MIN(0.98,NORMINV(RAND(),$C$13,0.15)))</f>
        <v/>
      </c>
      <c r="I111" s="32">
        <f>MAX(0,NORMINV(RAND(),$C$14,0.033))</f>
        <v/>
      </c>
      <c r="J111" s="33">
        <f>($C$7*$C$8/365)*F111</f>
        <v/>
      </c>
      <c r="K111" s="33">
        <f>$C$7*G111*$C$12*H111</f>
        <v/>
      </c>
      <c r="L111" s="33">
        <f>$C$7*I111*$C$15</f>
        <v/>
      </c>
      <c r="M111" s="33">
        <f>J111-K111-L111</f>
        <v/>
      </c>
    </row>
    <row r="112">
      <c r="E112" s="20" t="n">
        <v>104</v>
      </c>
      <c r="F112" s="32">
        <f>MAX(0.03,MIN(0.18,NORMINV(RAND(),$C$9,$C$10)))</f>
        <v/>
      </c>
      <c r="G112" s="32">
        <f>MAX(0.02,MIN(0.9,NORMINV(RAND(),$C$11,0.10)))</f>
        <v/>
      </c>
      <c r="H112" s="32">
        <f>MAX(0.02,MIN(0.98,NORMINV(RAND(),$C$13,0.15)))</f>
        <v/>
      </c>
      <c r="I112" s="32">
        <f>MAX(0,NORMINV(RAND(),$C$14,0.033))</f>
        <v/>
      </c>
      <c r="J112" s="33">
        <f>($C$7*$C$8/365)*F112</f>
        <v/>
      </c>
      <c r="K112" s="33">
        <f>$C$7*G112*$C$12*H112</f>
        <v/>
      </c>
      <c r="L112" s="33">
        <f>$C$7*I112*$C$15</f>
        <v/>
      </c>
      <c r="M112" s="33">
        <f>J112-K112-L112</f>
        <v/>
      </c>
    </row>
    <row r="113">
      <c r="E113" s="20" t="n">
        <v>105</v>
      </c>
      <c r="F113" s="32">
        <f>MAX(0.03,MIN(0.18,NORMINV(RAND(),$C$9,$C$10)))</f>
        <v/>
      </c>
      <c r="G113" s="32">
        <f>MAX(0.02,MIN(0.9,NORMINV(RAND(),$C$11,0.10)))</f>
        <v/>
      </c>
      <c r="H113" s="32">
        <f>MAX(0.02,MIN(0.98,NORMINV(RAND(),$C$13,0.15)))</f>
        <v/>
      </c>
      <c r="I113" s="32">
        <f>MAX(0,NORMINV(RAND(),$C$14,0.033))</f>
        <v/>
      </c>
      <c r="J113" s="33">
        <f>($C$7*$C$8/365)*F113</f>
        <v/>
      </c>
      <c r="K113" s="33">
        <f>$C$7*G113*$C$12*H113</f>
        <v/>
      </c>
      <c r="L113" s="33">
        <f>$C$7*I113*$C$15</f>
        <v/>
      </c>
      <c r="M113" s="33">
        <f>J113-K113-L113</f>
        <v/>
      </c>
    </row>
    <row r="114">
      <c r="E114" s="20" t="n">
        <v>106</v>
      </c>
      <c r="F114" s="32">
        <f>MAX(0.03,MIN(0.18,NORMINV(RAND(),$C$9,$C$10)))</f>
        <v/>
      </c>
      <c r="G114" s="32">
        <f>MAX(0.02,MIN(0.9,NORMINV(RAND(),$C$11,0.10)))</f>
        <v/>
      </c>
      <c r="H114" s="32">
        <f>MAX(0.02,MIN(0.98,NORMINV(RAND(),$C$13,0.15)))</f>
        <v/>
      </c>
      <c r="I114" s="32">
        <f>MAX(0,NORMINV(RAND(),$C$14,0.033))</f>
        <v/>
      </c>
      <c r="J114" s="33">
        <f>($C$7*$C$8/365)*F114</f>
        <v/>
      </c>
      <c r="K114" s="33">
        <f>$C$7*G114*$C$12*H114</f>
        <v/>
      </c>
      <c r="L114" s="33">
        <f>$C$7*I114*$C$15</f>
        <v/>
      </c>
      <c r="M114" s="33">
        <f>J114-K114-L114</f>
        <v/>
      </c>
    </row>
    <row r="115">
      <c r="E115" s="20" t="n">
        <v>107</v>
      </c>
      <c r="F115" s="32">
        <f>MAX(0.03,MIN(0.18,NORMINV(RAND(),$C$9,$C$10)))</f>
        <v/>
      </c>
      <c r="G115" s="32">
        <f>MAX(0.02,MIN(0.9,NORMINV(RAND(),$C$11,0.10)))</f>
        <v/>
      </c>
      <c r="H115" s="32">
        <f>MAX(0.02,MIN(0.98,NORMINV(RAND(),$C$13,0.15)))</f>
        <v/>
      </c>
      <c r="I115" s="32">
        <f>MAX(0,NORMINV(RAND(),$C$14,0.033))</f>
        <v/>
      </c>
      <c r="J115" s="33">
        <f>($C$7*$C$8/365)*F115</f>
        <v/>
      </c>
      <c r="K115" s="33">
        <f>$C$7*G115*$C$12*H115</f>
        <v/>
      </c>
      <c r="L115" s="33">
        <f>$C$7*I115*$C$15</f>
        <v/>
      </c>
      <c r="M115" s="33">
        <f>J115-K115-L115</f>
        <v/>
      </c>
    </row>
    <row r="116">
      <c r="E116" s="20" t="n">
        <v>108</v>
      </c>
      <c r="F116" s="32">
        <f>MAX(0.03,MIN(0.18,NORMINV(RAND(),$C$9,$C$10)))</f>
        <v/>
      </c>
      <c r="G116" s="32">
        <f>MAX(0.02,MIN(0.9,NORMINV(RAND(),$C$11,0.10)))</f>
        <v/>
      </c>
      <c r="H116" s="32">
        <f>MAX(0.02,MIN(0.98,NORMINV(RAND(),$C$13,0.15)))</f>
        <v/>
      </c>
      <c r="I116" s="32">
        <f>MAX(0,NORMINV(RAND(),$C$14,0.033))</f>
        <v/>
      </c>
      <c r="J116" s="33">
        <f>($C$7*$C$8/365)*F116</f>
        <v/>
      </c>
      <c r="K116" s="33">
        <f>$C$7*G116*$C$12*H116</f>
        <v/>
      </c>
      <c r="L116" s="33">
        <f>$C$7*I116*$C$15</f>
        <v/>
      </c>
      <c r="M116" s="33">
        <f>J116-K116-L116</f>
        <v/>
      </c>
    </row>
    <row r="117">
      <c r="E117" s="20" t="n">
        <v>109</v>
      </c>
      <c r="F117" s="32">
        <f>MAX(0.03,MIN(0.18,NORMINV(RAND(),$C$9,$C$10)))</f>
        <v/>
      </c>
      <c r="G117" s="32">
        <f>MAX(0.02,MIN(0.9,NORMINV(RAND(),$C$11,0.10)))</f>
        <v/>
      </c>
      <c r="H117" s="32">
        <f>MAX(0.02,MIN(0.98,NORMINV(RAND(),$C$13,0.15)))</f>
        <v/>
      </c>
      <c r="I117" s="32">
        <f>MAX(0,NORMINV(RAND(),$C$14,0.033))</f>
        <v/>
      </c>
      <c r="J117" s="33">
        <f>($C$7*$C$8/365)*F117</f>
        <v/>
      </c>
      <c r="K117" s="33">
        <f>$C$7*G117*$C$12*H117</f>
        <v/>
      </c>
      <c r="L117" s="33">
        <f>$C$7*I117*$C$15</f>
        <v/>
      </c>
      <c r="M117" s="33">
        <f>J117-K117-L117</f>
        <v/>
      </c>
    </row>
    <row r="118">
      <c r="E118" s="20" t="n">
        <v>110</v>
      </c>
      <c r="F118" s="32">
        <f>MAX(0.03,MIN(0.18,NORMINV(RAND(),$C$9,$C$10)))</f>
        <v/>
      </c>
      <c r="G118" s="32">
        <f>MAX(0.02,MIN(0.9,NORMINV(RAND(),$C$11,0.10)))</f>
        <v/>
      </c>
      <c r="H118" s="32">
        <f>MAX(0.02,MIN(0.98,NORMINV(RAND(),$C$13,0.15)))</f>
        <v/>
      </c>
      <c r="I118" s="32">
        <f>MAX(0,NORMINV(RAND(),$C$14,0.033))</f>
        <v/>
      </c>
      <c r="J118" s="33">
        <f>($C$7*$C$8/365)*F118</f>
        <v/>
      </c>
      <c r="K118" s="33">
        <f>$C$7*G118*$C$12*H118</f>
        <v/>
      </c>
      <c r="L118" s="33">
        <f>$C$7*I118*$C$15</f>
        <v/>
      </c>
      <c r="M118" s="33">
        <f>J118-K118-L118</f>
        <v/>
      </c>
    </row>
    <row r="119">
      <c r="E119" s="20" t="n">
        <v>111</v>
      </c>
      <c r="F119" s="32">
        <f>MAX(0.03,MIN(0.18,NORMINV(RAND(),$C$9,$C$10)))</f>
        <v/>
      </c>
      <c r="G119" s="32">
        <f>MAX(0.02,MIN(0.9,NORMINV(RAND(),$C$11,0.10)))</f>
        <v/>
      </c>
      <c r="H119" s="32">
        <f>MAX(0.02,MIN(0.98,NORMINV(RAND(),$C$13,0.15)))</f>
        <v/>
      </c>
      <c r="I119" s="32">
        <f>MAX(0,NORMINV(RAND(),$C$14,0.033))</f>
        <v/>
      </c>
      <c r="J119" s="33">
        <f>($C$7*$C$8/365)*F119</f>
        <v/>
      </c>
      <c r="K119" s="33">
        <f>$C$7*G119*$C$12*H119</f>
        <v/>
      </c>
      <c r="L119" s="33">
        <f>$C$7*I119*$C$15</f>
        <v/>
      </c>
      <c r="M119" s="33">
        <f>J119-K119-L119</f>
        <v/>
      </c>
    </row>
    <row r="120">
      <c r="E120" s="20" t="n">
        <v>112</v>
      </c>
      <c r="F120" s="32">
        <f>MAX(0.03,MIN(0.18,NORMINV(RAND(),$C$9,$C$10)))</f>
        <v/>
      </c>
      <c r="G120" s="32">
        <f>MAX(0.02,MIN(0.9,NORMINV(RAND(),$C$11,0.10)))</f>
        <v/>
      </c>
      <c r="H120" s="32">
        <f>MAX(0.02,MIN(0.98,NORMINV(RAND(),$C$13,0.15)))</f>
        <v/>
      </c>
      <c r="I120" s="32">
        <f>MAX(0,NORMINV(RAND(),$C$14,0.033))</f>
        <v/>
      </c>
      <c r="J120" s="33">
        <f>($C$7*$C$8/365)*F120</f>
        <v/>
      </c>
      <c r="K120" s="33">
        <f>$C$7*G120*$C$12*H120</f>
        <v/>
      </c>
      <c r="L120" s="33">
        <f>$C$7*I120*$C$15</f>
        <v/>
      </c>
      <c r="M120" s="33">
        <f>J120-K120-L120</f>
        <v/>
      </c>
    </row>
    <row r="121">
      <c r="E121" s="20" t="n">
        <v>113</v>
      </c>
      <c r="F121" s="32">
        <f>MAX(0.03,MIN(0.18,NORMINV(RAND(),$C$9,$C$10)))</f>
        <v/>
      </c>
      <c r="G121" s="32">
        <f>MAX(0.02,MIN(0.9,NORMINV(RAND(),$C$11,0.10)))</f>
        <v/>
      </c>
      <c r="H121" s="32">
        <f>MAX(0.02,MIN(0.98,NORMINV(RAND(),$C$13,0.15)))</f>
        <v/>
      </c>
      <c r="I121" s="32">
        <f>MAX(0,NORMINV(RAND(),$C$14,0.033))</f>
        <v/>
      </c>
      <c r="J121" s="33">
        <f>($C$7*$C$8/365)*F121</f>
        <v/>
      </c>
      <c r="K121" s="33">
        <f>$C$7*G121*$C$12*H121</f>
        <v/>
      </c>
      <c r="L121" s="33">
        <f>$C$7*I121*$C$15</f>
        <v/>
      </c>
      <c r="M121" s="33">
        <f>J121-K121-L121</f>
        <v/>
      </c>
    </row>
    <row r="122">
      <c r="E122" s="20" t="n">
        <v>114</v>
      </c>
      <c r="F122" s="32">
        <f>MAX(0.03,MIN(0.18,NORMINV(RAND(),$C$9,$C$10)))</f>
        <v/>
      </c>
      <c r="G122" s="32">
        <f>MAX(0.02,MIN(0.9,NORMINV(RAND(),$C$11,0.10)))</f>
        <v/>
      </c>
      <c r="H122" s="32">
        <f>MAX(0.02,MIN(0.98,NORMINV(RAND(),$C$13,0.15)))</f>
        <v/>
      </c>
      <c r="I122" s="32">
        <f>MAX(0,NORMINV(RAND(),$C$14,0.033))</f>
        <v/>
      </c>
      <c r="J122" s="33">
        <f>($C$7*$C$8/365)*F122</f>
        <v/>
      </c>
      <c r="K122" s="33">
        <f>$C$7*G122*$C$12*H122</f>
        <v/>
      </c>
      <c r="L122" s="33">
        <f>$C$7*I122*$C$15</f>
        <v/>
      </c>
      <c r="M122" s="33">
        <f>J122-K122-L122</f>
        <v/>
      </c>
    </row>
    <row r="123">
      <c r="E123" s="20" t="n">
        <v>115</v>
      </c>
      <c r="F123" s="32">
        <f>MAX(0.03,MIN(0.18,NORMINV(RAND(),$C$9,$C$10)))</f>
        <v/>
      </c>
      <c r="G123" s="32">
        <f>MAX(0.02,MIN(0.9,NORMINV(RAND(),$C$11,0.10)))</f>
        <v/>
      </c>
      <c r="H123" s="32">
        <f>MAX(0.02,MIN(0.98,NORMINV(RAND(),$C$13,0.15)))</f>
        <v/>
      </c>
      <c r="I123" s="32">
        <f>MAX(0,NORMINV(RAND(),$C$14,0.033))</f>
        <v/>
      </c>
      <c r="J123" s="33">
        <f>($C$7*$C$8/365)*F123</f>
        <v/>
      </c>
      <c r="K123" s="33">
        <f>$C$7*G123*$C$12*H123</f>
        <v/>
      </c>
      <c r="L123" s="33">
        <f>$C$7*I123*$C$15</f>
        <v/>
      </c>
      <c r="M123" s="33">
        <f>J123-K123-L123</f>
        <v/>
      </c>
    </row>
    <row r="124">
      <c r="E124" s="20" t="n">
        <v>116</v>
      </c>
      <c r="F124" s="32">
        <f>MAX(0.03,MIN(0.18,NORMINV(RAND(),$C$9,$C$10)))</f>
        <v/>
      </c>
      <c r="G124" s="32">
        <f>MAX(0.02,MIN(0.9,NORMINV(RAND(),$C$11,0.10)))</f>
        <v/>
      </c>
      <c r="H124" s="32">
        <f>MAX(0.02,MIN(0.98,NORMINV(RAND(),$C$13,0.15)))</f>
        <v/>
      </c>
      <c r="I124" s="32">
        <f>MAX(0,NORMINV(RAND(),$C$14,0.033))</f>
        <v/>
      </c>
      <c r="J124" s="33">
        <f>($C$7*$C$8/365)*F124</f>
        <v/>
      </c>
      <c r="K124" s="33">
        <f>$C$7*G124*$C$12*H124</f>
        <v/>
      </c>
      <c r="L124" s="33">
        <f>$C$7*I124*$C$15</f>
        <v/>
      </c>
      <c r="M124" s="33">
        <f>J124-K124-L124</f>
        <v/>
      </c>
    </row>
    <row r="125">
      <c r="E125" s="20" t="n">
        <v>117</v>
      </c>
      <c r="F125" s="32">
        <f>MAX(0.03,MIN(0.18,NORMINV(RAND(),$C$9,$C$10)))</f>
        <v/>
      </c>
      <c r="G125" s="32">
        <f>MAX(0.02,MIN(0.9,NORMINV(RAND(),$C$11,0.10)))</f>
        <v/>
      </c>
      <c r="H125" s="32">
        <f>MAX(0.02,MIN(0.98,NORMINV(RAND(),$C$13,0.15)))</f>
        <v/>
      </c>
      <c r="I125" s="32">
        <f>MAX(0,NORMINV(RAND(),$C$14,0.033))</f>
        <v/>
      </c>
      <c r="J125" s="33">
        <f>($C$7*$C$8/365)*F125</f>
        <v/>
      </c>
      <c r="K125" s="33">
        <f>$C$7*G125*$C$12*H125</f>
        <v/>
      </c>
      <c r="L125" s="33">
        <f>$C$7*I125*$C$15</f>
        <v/>
      </c>
      <c r="M125" s="33">
        <f>J125-K125-L125</f>
        <v/>
      </c>
    </row>
    <row r="126">
      <c r="E126" s="20" t="n">
        <v>118</v>
      </c>
      <c r="F126" s="32">
        <f>MAX(0.03,MIN(0.18,NORMINV(RAND(),$C$9,$C$10)))</f>
        <v/>
      </c>
      <c r="G126" s="32">
        <f>MAX(0.02,MIN(0.9,NORMINV(RAND(),$C$11,0.10)))</f>
        <v/>
      </c>
      <c r="H126" s="32">
        <f>MAX(0.02,MIN(0.98,NORMINV(RAND(),$C$13,0.15)))</f>
        <v/>
      </c>
      <c r="I126" s="32">
        <f>MAX(0,NORMINV(RAND(),$C$14,0.033))</f>
        <v/>
      </c>
      <c r="J126" s="33">
        <f>($C$7*$C$8/365)*F126</f>
        <v/>
      </c>
      <c r="K126" s="33">
        <f>$C$7*G126*$C$12*H126</f>
        <v/>
      </c>
      <c r="L126" s="33">
        <f>$C$7*I126*$C$15</f>
        <v/>
      </c>
      <c r="M126" s="33">
        <f>J126-K126-L126</f>
        <v/>
      </c>
    </row>
    <row r="127">
      <c r="E127" s="20" t="n">
        <v>119</v>
      </c>
      <c r="F127" s="32">
        <f>MAX(0.03,MIN(0.18,NORMINV(RAND(),$C$9,$C$10)))</f>
        <v/>
      </c>
      <c r="G127" s="32">
        <f>MAX(0.02,MIN(0.9,NORMINV(RAND(),$C$11,0.10)))</f>
        <v/>
      </c>
      <c r="H127" s="32">
        <f>MAX(0.02,MIN(0.98,NORMINV(RAND(),$C$13,0.15)))</f>
        <v/>
      </c>
      <c r="I127" s="32">
        <f>MAX(0,NORMINV(RAND(),$C$14,0.033))</f>
        <v/>
      </c>
      <c r="J127" s="33">
        <f>($C$7*$C$8/365)*F127</f>
        <v/>
      </c>
      <c r="K127" s="33">
        <f>$C$7*G127*$C$12*H127</f>
        <v/>
      </c>
      <c r="L127" s="33">
        <f>$C$7*I127*$C$15</f>
        <v/>
      </c>
      <c r="M127" s="33">
        <f>J127-K127-L127</f>
        <v/>
      </c>
    </row>
    <row r="128">
      <c r="E128" s="20" t="n">
        <v>120</v>
      </c>
      <c r="F128" s="32">
        <f>MAX(0.03,MIN(0.18,NORMINV(RAND(),$C$9,$C$10)))</f>
        <v/>
      </c>
      <c r="G128" s="32">
        <f>MAX(0.02,MIN(0.9,NORMINV(RAND(),$C$11,0.10)))</f>
        <v/>
      </c>
      <c r="H128" s="32">
        <f>MAX(0.02,MIN(0.98,NORMINV(RAND(),$C$13,0.15)))</f>
        <v/>
      </c>
      <c r="I128" s="32">
        <f>MAX(0,NORMINV(RAND(),$C$14,0.033))</f>
        <v/>
      </c>
      <c r="J128" s="33">
        <f>($C$7*$C$8/365)*F128</f>
        <v/>
      </c>
      <c r="K128" s="33">
        <f>$C$7*G128*$C$12*H128</f>
        <v/>
      </c>
      <c r="L128" s="33">
        <f>$C$7*I128*$C$15</f>
        <v/>
      </c>
      <c r="M128" s="33">
        <f>J128-K128-L128</f>
        <v/>
      </c>
    </row>
    <row r="129">
      <c r="E129" s="20" t="n">
        <v>121</v>
      </c>
      <c r="F129" s="32">
        <f>MAX(0.03,MIN(0.18,NORMINV(RAND(),$C$9,$C$10)))</f>
        <v/>
      </c>
      <c r="G129" s="32">
        <f>MAX(0.02,MIN(0.9,NORMINV(RAND(),$C$11,0.10)))</f>
        <v/>
      </c>
      <c r="H129" s="32">
        <f>MAX(0.02,MIN(0.98,NORMINV(RAND(),$C$13,0.15)))</f>
        <v/>
      </c>
      <c r="I129" s="32">
        <f>MAX(0,NORMINV(RAND(),$C$14,0.033))</f>
        <v/>
      </c>
      <c r="J129" s="33">
        <f>($C$7*$C$8/365)*F129</f>
        <v/>
      </c>
      <c r="K129" s="33">
        <f>$C$7*G129*$C$12*H129</f>
        <v/>
      </c>
      <c r="L129" s="33">
        <f>$C$7*I129*$C$15</f>
        <v/>
      </c>
      <c r="M129" s="33">
        <f>J129-K129-L129</f>
        <v/>
      </c>
    </row>
    <row r="130">
      <c r="E130" s="20" t="n">
        <v>122</v>
      </c>
      <c r="F130" s="32">
        <f>MAX(0.03,MIN(0.18,NORMINV(RAND(),$C$9,$C$10)))</f>
        <v/>
      </c>
      <c r="G130" s="32">
        <f>MAX(0.02,MIN(0.9,NORMINV(RAND(),$C$11,0.10)))</f>
        <v/>
      </c>
      <c r="H130" s="32">
        <f>MAX(0.02,MIN(0.98,NORMINV(RAND(),$C$13,0.15)))</f>
        <v/>
      </c>
      <c r="I130" s="32">
        <f>MAX(0,NORMINV(RAND(),$C$14,0.033))</f>
        <v/>
      </c>
      <c r="J130" s="33">
        <f>($C$7*$C$8/365)*F130</f>
        <v/>
      </c>
      <c r="K130" s="33">
        <f>$C$7*G130*$C$12*H130</f>
        <v/>
      </c>
      <c r="L130" s="33">
        <f>$C$7*I130*$C$15</f>
        <v/>
      </c>
      <c r="M130" s="33">
        <f>J130-K130-L130</f>
        <v/>
      </c>
    </row>
    <row r="131">
      <c r="E131" s="20" t="n">
        <v>123</v>
      </c>
      <c r="F131" s="32">
        <f>MAX(0.03,MIN(0.18,NORMINV(RAND(),$C$9,$C$10)))</f>
        <v/>
      </c>
      <c r="G131" s="32">
        <f>MAX(0.02,MIN(0.9,NORMINV(RAND(),$C$11,0.10)))</f>
        <v/>
      </c>
      <c r="H131" s="32">
        <f>MAX(0.02,MIN(0.98,NORMINV(RAND(),$C$13,0.15)))</f>
        <v/>
      </c>
      <c r="I131" s="32">
        <f>MAX(0,NORMINV(RAND(),$C$14,0.033))</f>
        <v/>
      </c>
      <c r="J131" s="33">
        <f>($C$7*$C$8/365)*F131</f>
        <v/>
      </c>
      <c r="K131" s="33">
        <f>$C$7*G131*$C$12*H131</f>
        <v/>
      </c>
      <c r="L131" s="33">
        <f>$C$7*I131*$C$15</f>
        <v/>
      </c>
      <c r="M131" s="33">
        <f>J131-K131-L131</f>
        <v/>
      </c>
    </row>
    <row r="132">
      <c r="E132" s="20" t="n">
        <v>124</v>
      </c>
      <c r="F132" s="32">
        <f>MAX(0.03,MIN(0.18,NORMINV(RAND(),$C$9,$C$10)))</f>
        <v/>
      </c>
      <c r="G132" s="32">
        <f>MAX(0.02,MIN(0.9,NORMINV(RAND(),$C$11,0.10)))</f>
        <v/>
      </c>
      <c r="H132" s="32">
        <f>MAX(0.02,MIN(0.98,NORMINV(RAND(),$C$13,0.15)))</f>
        <v/>
      </c>
      <c r="I132" s="32">
        <f>MAX(0,NORMINV(RAND(),$C$14,0.033))</f>
        <v/>
      </c>
      <c r="J132" s="33">
        <f>($C$7*$C$8/365)*F132</f>
        <v/>
      </c>
      <c r="K132" s="33">
        <f>$C$7*G132*$C$12*H132</f>
        <v/>
      </c>
      <c r="L132" s="33">
        <f>$C$7*I132*$C$15</f>
        <v/>
      </c>
      <c r="M132" s="33">
        <f>J132-K132-L132</f>
        <v/>
      </c>
    </row>
    <row r="133">
      <c r="E133" s="20" t="n">
        <v>125</v>
      </c>
      <c r="F133" s="32">
        <f>MAX(0.03,MIN(0.18,NORMINV(RAND(),$C$9,$C$10)))</f>
        <v/>
      </c>
      <c r="G133" s="32">
        <f>MAX(0.02,MIN(0.9,NORMINV(RAND(),$C$11,0.10)))</f>
        <v/>
      </c>
      <c r="H133" s="32">
        <f>MAX(0.02,MIN(0.98,NORMINV(RAND(),$C$13,0.15)))</f>
        <v/>
      </c>
      <c r="I133" s="32">
        <f>MAX(0,NORMINV(RAND(),$C$14,0.033))</f>
        <v/>
      </c>
      <c r="J133" s="33">
        <f>($C$7*$C$8/365)*F133</f>
        <v/>
      </c>
      <c r="K133" s="33">
        <f>$C$7*G133*$C$12*H133</f>
        <v/>
      </c>
      <c r="L133" s="33">
        <f>$C$7*I133*$C$15</f>
        <v/>
      </c>
      <c r="M133" s="33">
        <f>J133-K133-L133</f>
        <v/>
      </c>
    </row>
    <row r="134">
      <c r="E134" s="20" t="n">
        <v>126</v>
      </c>
      <c r="F134" s="32">
        <f>MAX(0.03,MIN(0.18,NORMINV(RAND(),$C$9,$C$10)))</f>
        <v/>
      </c>
      <c r="G134" s="32">
        <f>MAX(0.02,MIN(0.9,NORMINV(RAND(),$C$11,0.10)))</f>
        <v/>
      </c>
      <c r="H134" s="32">
        <f>MAX(0.02,MIN(0.98,NORMINV(RAND(),$C$13,0.15)))</f>
        <v/>
      </c>
      <c r="I134" s="32">
        <f>MAX(0,NORMINV(RAND(),$C$14,0.033))</f>
        <v/>
      </c>
      <c r="J134" s="33">
        <f>($C$7*$C$8/365)*F134</f>
        <v/>
      </c>
      <c r="K134" s="33">
        <f>$C$7*G134*$C$12*H134</f>
        <v/>
      </c>
      <c r="L134" s="33">
        <f>$C$7*I134*$C$15</f>
        <v/>
      </c>
      <c r="M134" s="33">
        <f>J134-K134-L134</f>
        <v/>
      </c>
    </row>
    <row r="135">
      <c r="E135" s="20" t="n">
        <v>127</v>
      </c>
      <c r="F135" s="32">
        <f>MAX(0.03,MIN(0.18,NORMINV(RAND(),$C$9,$C$10)))</f>
        <v/>
      </c>
      <c r="G135" s="32">
        <f>MAX(0.02,MIN(0.9,NORMINV(RAND(),$C$11,0.10)))</f>
        <v/>
      </c>
      <c r="H135" s="32">
        <f>MAX(0.02,MIN(0.98,NORMINV(RAND(),$C$13,0.15)))</f>
        <v/>
      </c>
      <c r="I135" s="32">
        <f>MAX(0,NORMINV(RAND(),$C$14,0.033))</f>
        <v/>
      </c>
      <c r="J135" s="33">
        <f>($C$7*$C$8/365)*F135</f>
        <v/>
      </c>
      <c r="K135" s="33">
        <f>$C$7*G135*$C$12*H135</f>
        <v/>
      </c>
      <c r="L135" s="33">
        <f>$C$7*I135*$C$15</f>
        <v/>
      </c>
      <c r="M135" s="33">
        <f>J135-K135-L135</f>
        <v/>
      </c>
    </row>
    <row r="136">
      <c r="E136" s="20" t="n">
        <v>128</v>
      </c>
      <c r="F136" s="32">
        <f>MAX(0.03,MIN(0.18,NORMINV(RAND(),$C$9,$C$10)))</f>
        <v/>
      </c>
      <c r="G136" s="32">
        <f>MAX(0.02,MIN(0.9,NORMINV(RAND(),$C$11,0.10)))</f>
        <v/>
      </c>
      <c r="H136" s="32">
        <f>MAX(0.02,MIN(0.98,NORMINV(RAND(),$C$13,0.15)))</f>
        <v/>
      </c>
      <c r="I136" s="32">
        <f>MAX(0,NORMINV(RAND(),$C$14,0.033))</f>
        <v/>
      </c>
      <c r="J136" s="33">
        <f>($C$7*$C$8/365)*F136</f>
        <v/>
      </c>
      <c r="K136" s="33">
        <f>$C$7*G136*$C$12*H136</f>
        <v/>
      </c>
      <c r="L136" s="33">
        <f>$C$7*I136*$C$15</f>
        <v/>
      </c>
      <c r="M136" s="33">
        <f>J136-K136-L136</f>
        <v/>
      </c>
    </row>
    <row r="137">
      <c r="E137" s="20" t="n">
        <v>129</v>
      </c>
      <c r="F137" s="32">
        <f>MAX(0.03,MIN(0.18,NORMINV(RAND(),$C$9,$C$10)))</f>
        <v/>
      </c>
      <c r="G137" s="32">
        <f>MAX(0.02,MIN(0.9,NORMINV(RAND(),$C$11,0.10)))</f>
        <v/>
      </c>
      <c r="H137" s="32">
        <f>MAX(0.02,MIN(0.98,NORMINV(RAND(),$C$13,0.15)))</f>
        <v/>
      </c>
      <c r="I137" s="32">
        <f>MAX(0,NORMINV(RAND(),$C$14,0.033))</f>
        <v/>
      </c>
      <c r="J137" s="33">
        <f>($C$7*$C$8/365)*F137</f>
        <v/>
      </c>
      <c r="K137" s="33">
        <f>$C$7*G137*$C$12*H137</f>
        <v/>
      </c>
      <c r="L137" s="33">
        <f>$C$7*I137*$C$15</f>
        <v/>
      </c>
      <c r="M137" s="33">
        <f>J137-K137-L137</f>
        <v/>
      </c>
    </row>
    <row r="138">
      <c r="E138" s="20" t="n">
        <v>130</v>
      </c>
      <c r="F138" s="32">
        <f>MAX(0.03,MIN(0.18,NORMINV(RAND(),$C$9,$C$10)))</f>
        <v/>
      </c>
      <c r="G138" s="32">
        <f>MAX(0.02,MIN(0.9,NORMINV(RAND(),$C$11,0.10)))</f>
        <v/>
      </c>
      <c r="H138" s="32">
        <f>MAX(0.02,MIN(0.98,NORMINV(RAND(),$C$13,0.15)))</f>
        <v/>
      </c>
      <c r="I138" s="32">
        <f>MAX(0,NORMINV(RAND(),$C$14,0.033))</f>
        <v/>
      </c>
      <c r="J138" s="33">
        <f>($C$7*$C$8/365)*F138</f>
        <v/>
      </c>
      <c r="K138" s="33">
        <f>$C$7*G138*$C$12*H138</f>
        <v/>
      </c>
      <c r="L138" s="33">
        <f>$C$7*I138*$C$15</f>
        <v/>
      </c>
      <c r="M138" s="33">
        <f>J138-K138-L138</f>
        <v/>
      </c>
    </row>
    <row r="139">
      <c r="E139" s="20" t="n">
        <v>131</v>
      </c>
      <c r="F139" s="32">
        <f>MAX(0.03,MIN(0.18,NORMINV(RAND(),$C$9,$C$10)))</f>
        <v/>
      </c>
      <c r="G139" s="32">
        <f>MAX(0.02,MIN(0.9,NORMINV(RAND(),$C$11,0.10)))</f>
        <v/>
      </c>
      <c r="H139" s="32">
        <f>MAX(0.02,MIN(0.98,NORMINV(RAND(),$C$13,0.15)))</f>
        <v/>
      </c>
      <c r="I139" s="32">
        <f>MAX(0,NORMINV(RAND(),$C$14,0.033))</f>
        <v/>
      </c>
      <c r="J139" s="33">
        <f>($C$7*$C$8/365)*F139</f>
        <v/>
      </c>
      <c r="K139" s="33">
        <f>$C$7*G139*$C$12*H139</f>
        <v/>
      </c>
      <c r="L139" s="33">
        <f>$C$7*I139*$C$15</f>
        <v/>
      </c>
      <c r="M139" s="33">
        <f>J139-K139-L139</f>
        <v/>
      </c>
    </row>
    <row r="140">
      <c r="E140" s="20" t="n">
        <v>132</v>
      </c>
      <c r="F140" s="32">
        <f>MAX(0.03,MIN(0.18,NORMINV(RAND(),$C$9,$C$10)))</f>
        <v/>
      </c>
      <c r="G140" s="32">
        <f>MAX(0.02,MIN(0.9,NORMINV(RAND(),$C$11,0.10)))</f>
        <v/>
      </c>
      <c r="H140" s="32">
        <f>MAX(0.02,MIN(0.98,NORMINV(RAND(),$C$13,0.15)))</f>
        <v/>
      </c>
      <c r="I140" s="32">
        <f>MAX(0,NORMINV(RAND(),$C$14,0.033))</f>
        <v/>
      </c>
      <c r="J140" s="33">
        <f>($C$7*$C$8/365)*F140</f>
        <v/>
      </c>
      <c r="K140" s="33">
        <f>$C$7*G140*$C$12*H140</f>
        <v/>
      </c>
      <c r="L140" s="33">
        <f>$C$7*I140*$C$15</f>
        <v/>
      </c>
      <c r="M140" s="33">
        <f>J140-K140-L140</f>
        <v/>
      </c>
    </row>
    <row r="141">
      <c r="E141" s="20" t="n">
        <v>133</v>
      </c>
      <c r="F141" s="32">
        <f>MAX(0.03,MIN(0.18,NORMINV(RAND(),$C$9,$C$10)))</f>
        <v/>
      </c>
      <c r="G141" s="32">
        <f>MAX(0.02,MIN(0.9,NORMINV(RAND(),$C$11,0.10)))</f>
        <v/>
      </c>
      <c r="H141" s="32">
        <f>MAX(0.02,MIN(0.98,NORMINV(RAND(),$C$13,0.15)))</f>
        <v/>
      </c>
      <c r="I141" s="32">
        <f>MAX(0,NORMINV(RAND(),$C$14,0.033))</f>
        <v/>
      </c>
      <c r="J141" s="33">
        <f>($C$7*$C$8/365)*F141</f>
        <v/>
      </c>
      <c r="K141" s="33">
        <f>$C$7*G141*$C$12*H141</f>
        <v/>
      </c>
      <c r="L141" s="33">
        <f>$C$7*I141*$C$15</f>
        <v/>
      </c>
      <c r="M141" s="33">
        <f>J141-K141-L141</f>
        <v/>
      </c>
    </row>
    <row r="142">
      <c r="E142" s="20" t="n">
        <v>134</v>
      </c>
      <c r="F142" s="32">
        <f>MAX(0.03,MIN(0.18,NORMINV(RAND(),$C$9,$C$10)))</f>
        <v/>
      </c>
      <c r="G142" s="32">
        <f>MAX(0.02,MIN(0.9,NORMINV(RAND(),$C$11,0.10)))</f>
        <v/>
      </c>
      <c r="H142" s="32">
        <f>MAX(0.02,MIN(0.98,NORMINV(RAND(),$C$13,0.15)))</f>
        <v/>
      </c>
      <c r="I142" s="32">
        <f>MAX(0,NORMINV(RAND(),$C$14,0.033))</f>
        <v/>
      </c>
      <c r="J142" s="33">
        <f>($C$7*$C$8/365)*F142</f>
        <v/>
      </c>
      <c r="K142" s="33">
        <f>$C$7*G142*$C$12*H142</f>
        <v/>
      </c>
      <c r="L142" s="33">
        <f>$C$7*I142*$C$15</f>
        <v/>
      </c>
      <c r="M142" s="33">
        <f>J142-K142-L142</f>
        <v/>
      </c>
    </row>
    <row r="143">
      <c r="E143" s="20" t="n">
        <v>135</v>
      </c>
      <c r="F143" s="32">
        <f>MAX(0.03,MIN(0.18,NORMINV(RAND(),$C$9,$C$10)))</f>
        <v/>
      </c>
      <c r="G143" s="32">
        <f>MAX(0.02,MIN(0.9,NORMINV(RAND(),$C$11,0.10)))</f>
        <v/>
      </c>
      <c r="H143" s="32">
        <f>MAX(0.02,MIN(0.98,NORMINV(RAND(),$C$13,0.15)))</f>
        <v/>
      </c>
      <c r="I143" s="32">
        <f>MAX(0,NORMINV(RAND(),$C$14,0.033))</f>
        <v/>
      </c>
      <c r="J143" s="33">
        <f>($C$7*$C$8/365)*F143</f>
        <v/>
      </c>
      <c r="K143" s="33">
        <f>$C$7*G143*$C$12*H143</f>
        <v/>
      </c>
      <c r="L143" s="33">
        <f>$C$7*I143*$C$15</f>
        <v/>
      </c>
      <c r="M143" s="33">
        <f>J143-K143-L143</f>
        <v/>
      </c>
    </row>
    <row r="144">
      <c r="E144" s="20" t="n">
        <v>136</v>
      </c>
      <c r="F144" s="32">
        <f>MAX(0.03,MIN(0.18,NORMINV(RAND(),$C$9,$C$10)))</f>
        <v/>
      </c>
      <c r="G144" s="32">
        <f>MAX(0.02,MIN(0.9,NORMINV(RAND(),$C$11,0.10)))</f>
        <v/>
      </c>
      <c r="H144" s="32">
        <f>MAX(0.02,MIN(0.98,NORMINV(RAND(),$C$13,0.15)))</f>
        <v/>
      </c>
      <c r="I144" s="32">
        <f>MAX(0,NORMINV(RAND(),$C$14,0.033))</f>
        <v/>
      </c>
      <c r="J144" s="33">
        <f>($C$7*$C$8/365)*F144</f>
        <v/>
      </c>
      <c r="K144" s="33">
        <f>$C$7*G144*$C$12*H144</f>
        <v/>
      </c>
      <c r="L144" s="33">
        <f>$C$7*I144*$C$15</f>
        <v/>
      </c>
      <c r="M144" s="33">
        <f>J144-K144-L144</f>
        <v/>
      </c>
    </row>
    <row r="145">
      <c r="E145" s="20" t="n">
        <v>137</v>
      </c>
      <c r="F145" s="32">
        <f>MAX(0.03,MIN(0.18,NORMINV(RAND(),$C$9,$C$10)))</f>
        <v/>
      </c>
      <c r="G145" s="32">
        <f>MAX(0.02,MIN(0.9,NORMINV(RAND(),$C$11,0.10)))</f>
        <v/>
      </c>
      <c r="H145" s="32">
        <f>MAX(0.02,MIN(0.98,NORMINV(RAND(),$C$13,0.15)))</f>
        <v/>
      </c>
      <c r="I145" s="32">
        <f>MAX(0,NORMINV(RAND(),$C$14,0.033))</f>
        <v/>
      </c>
      <c r="J145" s="33">
        <f>($C$7*$C$8/365)*F145</f>
        <v/>
      </c>
      <c r="K145" s="33">
        <f>$C$7*G145*$C$12*H145</f>
        <v/>
      </c>
      <c r="L145" s="33">
        <f>$C$7*I145*$C$15</f>
        <v/>
      </c>
      <c r="M145" s="33">
        <f>J145-K145-L145</f>
        <v/>
      </c>
    </row>
    <row r="146">
      <c r="E146" s="20" t="n">
        <v>138</v>
      </c>
      <c r="F146" s="32">
        <f>MAX(0.03,MIN(0.18,NORMINV(RAND(),$C$9,$C$10)))</f>
        <v/>
      </c>
      <c r="G146" s="32">
        <f>MAX(0.02,MIN(0.9,NORMINV(RAND(),$C$11,0.10)))</f>
        <v/>
      </c>
      <c r="H146" s="32">
        <f>MAX(0.02,MIN(0.98,NORMINV(RAND(),$C$13,0.15)))</f>
        <v/>
      </c>
      <c r="I146" s="32">
        <f>MAX(0,NORMINV(RAND(),$C$14,0.033))</f>
        <v/>
      </c>
      <c r="J146" s="33">
        <f>($C$7*$C$8/365)*F146</f>
        <v/>
      </c>
      <c r="K146" s="33">
        <f>$C$7*G146*$C$12*H146</f>
        <v/>
      </c>
      <c r="L146" s="33">
        <f>$C$7*I146*$C$15</f>
        <v/>
      </c>
      <c r="M146" s="33">
        <f>J146-K146-L146</f>
        <v/>
      </c>
    </row>
    <row r="147">
      <c r="E147" s="20" t="n">
        <v>139</v>
      </c>
      <c r="F147" s="32">
        <f>MAX(0.03,MIN(0.18,NORMINV(RAND(),$C$9,$C$10)))</f>
        <v/>
      </c>
      <c r="G147" s="32">
        <f>MAX(0.02,MIN(0.9,NORMINV(RAND(),$C$11,0.10)))</f>
        <v/>
      </c>
      <c r="H147" s="32">
        <f>MAX(0.02,MIN(0.98,NORMINV(RAND(),$C$13,0.15)))</f>
        <v/>
      </c>
      <c r="I147" s="32">
        <f>MAX(0,NORMINV(RAND(),$C$14,0.033))</f>
        <v/>
      </c>
      <c r="J147" s="33">
        <f>($C$7*$C$8/365)*F147</f>
        <v/>
      </c>
      <c r="K147" s="33">
        <f>$C$7*G147*$C$12*H147</f>
        <v/>
      </c>
      <c r="L147" s="33">
        <f>$C$7*I147*$C$15</f>
        <v/>
      </c>
      <c r="M147" s="33">
        <f>J147-K147-L147</f>
        <v/>
      </c>
    </row>
    <row r="148">
      <c r="E148" s="20" t="n">
        <v>140</v>
      </c>
      <c r="F148" s="32">
        <f>MAX(0.03,MIN(0.18,NORMINV(RAND(),$C$9,$C$10)))</f>
        <v/>
      </c>
      <c r="G148" s="32">
        <f>MAX(0.02,MIN(0.9,NORMINV(RAND(),$C$11,0.10)))</f>
        <v/>
      </c>
      <c r="H148" s="32">
        <f>MAX(0.02,MIN(0.98,NORMINV(RAND(),$C$13,0.15)))</f>
        <v/>
      </c>
      <c r="I148" s="32">
        <f>MAX(0,NORMINV(RAND(),$C$14,0.033))</f>
        <v/>
      </c>
      <c r="J148" s="33">
        <f>($C$7*$C$8/365)*F148</f>
        <v/>
      </c>
      <c r="K148" s="33">
        <f>$C$7*G148*$C$12*H148</f>
        <v/>
      </c>
      <c r="L148" s="33">
        <f>$C$7*I148*$C$15</f>
        <v/>
      </c>
      <c r="M148" s="33">
        <f>J148-K148-L148</f>
        <v/>
      </c>
    </row>
    <row r="149">
      <c r="E149" s="20" t="n">
        <v>141</v>
      </c>
      <c r="F149" s="32">
        <f>MAX(0.03,MIN(0.18,NORMINV(RAND(),$C$9,$C$10)))</f>
        <v/>
      </c>
      <c r="G149" s="32">
        <f>MAX(0.02,MIN(0.9,NORMINV(RAND(),$C$11,0.10)))</f>
        <v/>
      </c>
      <c r="H149" s="32">
        <f>MAX(0.02,MIN(0.98,NORMINV(RAND(),$C$13,0.15)))</f>
        <v/>
      </c>
      <c r="I149" s="32">
        <f>MAX(0,NORMINV(RAND(),$C$14,0.033))</f>
        <v/>
      </c>
      <c r="J149" s="33">
        <f>($C$7*$C$8/365)*F149</f>
        <v/>
      </c>
      <c r="K149" s="33">
        <f>$C$7*G149*$C$12*H149</f>
        <v/>
      </c>
      <c r="L149" s="33">
        <f>$C$7*I149*$C$15</f>
        <v/>
      </c>
      <c r="M149" s="33">
        <f>J149-K149-L149</f>
        <v/>
      </c>
    </row>
    <row r="150">
      <c r="E150" s="20" t="n">
        <v>142</v>
      </c>
      <c r="F150" s="32">
        <f>MAX(0.03,MIN(0.18,NORMINV(RAND(),$C$9,$C$10)))</f>
        <v/>
      </c>
      <c r="G150" s="32">
        <f>MAX(0.02,MIN(0.9,NORMINV(RAND(),$C$11,0.10)))</f>
        <v/>
      </c>
      <c r="H150" s="32">
        <f>MAX(0.02,MIN(0.98,NORMINV(RAND(),$C$13,0.15)))</f>
        <v/>
      </c>
      <c r="I150" s="32">
        <f>MAX(0,NORMINV(RAND(),$C$14,0.033))</f>
        <v/>
      </c>
      <c r="J150" s="33">
        <f>($C$7*$C$8/365)*F150</f>
        <v/>
      </c>
      <c r="K150" s="33">
        <f>$C$7*G150*$C$12*H150</f>
        <v/>
      </c>
      <c r="L150" s="33">
        <f>$C$7*I150*$C$15</f>
        <v/>
      </c>
      <c r="M150" s="33">
        <f>J150-K150-L150</f>
        <v/>
      </c>
    </row>
    <row r="151">
      <c r="E151" s="20" t="n">
        <v>143</v>
      </c>
      <c r="F151" s="32">
        <f>MAX(0.03,MIN(0.18,NORMINV(RAND(),$C$9,$C$10)))</f>
        <v/>
      </c>
      <c r="G151" s="32">
        <f>MAX(0.02,MIN(0.9,NORMINV(RAND(),$C$11,0.10)))</f>
        <v/>
      </c>
      <c r="H151" s="32">
        <f>MAX(0.02,MIN(0.98,NORMINV(RAND(),$C$13,0.15)))</f>
        <v/>
      </c>
      <c r="I151" s="32">
        <f>MAX(0,NORMINV(RAND(),$C$14,0.033))</f>
        <v/>
      </c>
      <c r="J151" s="33">
        <f>($C$7*$C$8/365)*F151</f>
        <v/>
      </c>
      <c r="K151" s="33">
        <f>$C$7*G151*$C$12*H151</f>
        <v/>
      </c>
      <c r="L151" s="33">
        <f>$C$7*I151*$C$15</f>
        <v/>
      </c>
      <c r="M151" s="33">
        <f>J151-K151-L151</f>
        <v/>
      </c>
    </row>
    <row r="152">
      <c r="E152" s="20" t="n">
        <v>144</v>
      </c>
      <c r="F152" s="32">
        <f>MAX(0.03,MIN(0.18,NORMINV(RAND(),$C$9,$C$10)))</f>
        <v/>
      </c>
      <c r="G152" s="32">
        <f>MAX(0.02,MIN(0.9,NORMINV(RAND(),$C$11,0.10)))</f>
        <v/>
      </c>
      <c r="H152" s="32">
        <f>MAX(0.02,MIN(0.98,NORMINV(RAND(),$C$13,0.15)))</f>
        <v/>
      </c>
      <c r="I152" s="32">
        <f>MAX(0,NORMINV(RAND(),$C$14,0.033))</f>
        <v/>
      </c>
      <c r="J152" s="33">
        <f>($C$7*$C$8/365)*F152</f>
        <v/>
      </c>
      <c r="K152" s="33">
        <f>$C$7*G152*$C$12*H152</f>
        <v/>
      </c>
      <c r="L152" s="33">
        <f>$C$7*I152*$C$15</f>
        <v/>
      </c>
      <c r="M152" s="33">
        <f>J152-K152-L152</f>
        <v/>
      </c>
    </row>
    <row r="153">
      <c r="E153" s="20" t="n">
        <v>145</v>
      </c>
      <c r="F153" s="32">
        <f>MAX(0.03,MIN(0.18,NORMINV(RAND(),$C$9,$C$10)))</f>
        <v/>
      </c>
      <c r="G153" s="32">
        <f>MAX(0.02,MIN(0.9,NORMINV(RAND(),$C$11,0.10)))</f>
        <v/>
      </c>
      <c r="H153" s="32">
        <f>MAX(0.02,MIN(0.98,NORMINV(RAND(),$C$13,0.15)))</f>
        <v/>
      </c>
      <c r="I153" s="32">
        <f>MAX(0,NORMINV(RAND(),$C$14,0.033))</f>
        <v/>
      </c>
      <c r="J153" s="33">
        <f>($C$7*$C$8/365)*F153</f>
        <v/>
      </c>
      <c r="K153" s="33">
        <f>$C$7*G153*$C$12*H153</f>
        <v/>
      </c>
      <c r="L153" s="33">
        <f>$C$7*I153*$C$15</f>
        <v/>
      </c>
      <c r="M153" s="33">
        <f>J153-K153-L153</f>
        <v/>
      </c>
    </row>
    <row r="154">
      <c r="E154" s="20" t="n">
        <v>146</v>
      </c>
      <c r="F154" s="32">
        <f>MAX(0.03,MIN(0.18,NORMINV(RAND(),$C$9,$C$10)))</f>
        <v/>
      </c>
      <c r="G154" s="32">
        <f>MAX(0.02,MIN(0.9,NORMINV(RAND(),$C$11,0.10)))</f>
        <v/>
      </c>
      <c r="H154" s="32">
        <f>MAX(0.02,MIN(0.98,NORMINV(RAND(),$C$13,0.15)))</f>
        <v/>
      </c>
      <c r="I154" s="32">
        <f>MAX(0,NORMINV(RAND(),$C$14,0.033))</f>
        <v/>
      </c>
      <c r="J154" s="33">
        <f>($C$7*$C$8/365)*F154</f>
        <v/>
      </c>
      <c r="K154" s="33">
        <f>$C$7*G154*$C$12*H154</f>
        <v/>
      </c>
      <c r="L154" s="33">
        <f>$C$7*I154*$C$15</f>
        <v/>
      </c>
      <c r="M154" s="33">
        <f>J154-K154-L154</f>
        <v/>
      </c>
    </row>
    <row r="155">
      <c r="E155" s="20" t="n">
        <v>147</v>
      </c>
      <c r="F155" s="32">
        <f>MAX(0.03,MIN(0.18,NORMINV(RAND(),$C$9,$C$10)))</f>
        <v/>
      </c>
      <c r="G155" s="32">
        <f>MAX(0.02,MIN(0.9,NORMINV(RAND(),$C$11,0.10)))</f>
        <v/>
      </c>
      <c r="H155" s="32">
        <f>MAX(0.02,MIN(0.98,NORMINV(RAND(),$C$13,0.15)))</f>
        <v/>
      </c>
      <c r="I155" s="32">
        <f>MAX(0,NORMINV(RAND(),$C$14,0.033))</f>
        <v/>
      </c>
      <c r="J155" s="33">
        <f>($C$7*$C$8/365)*F155</f>
        <v/>
      </c>
      <c r="K155" s="33">
        <f>$C$7*G155*$C$12*H155</f>
        <v/>
      </c>
      <c r="L155" s="33">
        <f>$C$7*I155*$C$15</f>
        <v/>
      </c>
      <c r="M155" s="33">
        <f>J155-K155-L155</f>
        <v/>
      </c>
    </row>
    <row r="156">
      <c r="E156" s="20" t="n">
        <v>148</v>
      </c>
      <c r="F156" s="32">
        <f>MAX(0.03,MIN(0.18,NORMINV(RAND(),$C$9,$C$10)))</f>
        <v/>
      </c>
      <c r="G156" s="32">
        <f>MAX(0.02,MIN(0.9,NORMINV(RAND(),$C$11,0.10)))</f>
        <v/>
      </c>
      <c r="H156" s="32">
        <f>MAX(0.02,MIN(0.98,NORMINV(RAND(),$C$13,0.15)))</f>
        <v/>
      </c>
      <c r="I156" s="32">
        <f>MAX(0,NORMINV(RAND(),$C$14,0.033))</f>
        <v/>
      </c>
      <c r="J156" s="33">
        <f>($C$7*$C$8/365)*F156</f>
        <v/>
      </c>
      <c r="K156" s="33">
        <f>$C$7*G156*$C$12*H156</f>
        <v/>
      </c>
      <c r="L156" s="33">
        <f>$C$7*I156*$C$15</f>
        <v/>
      </c>
      <c r="M156" s="33">
        <f>J156-K156-L156</f>
        <v/>
      </c>
    </row>
    <row r="157">
      <c r="E157" s="20" t="n">
        <v>149</v>
      </c>
      <c r="F157" s="32">
        <f>MAX(0.03,MIN(0.18,NORMINV(RAND(),$C$9,$C$10)))</f>
        <v/>
      </c>
      <c r="G157" s="32">
        <f>MAX(0.02,MIN(0.9,NORMINV(RAND(),$C$11,0.10)))</f>
        <v/>
      </c>
      <c r="H157" s="32">
        <f>MAX(0.02,MIN(0.98,NORMINV(RAND(),$C$13,0.15)))</f>
        <v/>
      </c>
      <c r="I157" s="32">
        <f>MAX(0,NORMINV(RAND(),$C$14,0.033))</f>
        <v/>
      </c>
      <c r="J157" s="33">
        <f>($C$7*$C$8/365)*F157</f>
        <v/>
      </c>
      <c r="K157" s="33">
        <f>$C$7*G157*$C$12*H157</f>
        <v/>
      </c>
      <c r="L157" s="33">
        <f>$C$7*I157*$C$15</f>
        <v/>
      </c>
      <c r="M157" s="33">
        <f>J157-K157-L157</f>
        <v/>
      </c>
    </row>
    <row r="158">
      <c r="E158" s="20" t="n">
        <v>150</v>
      </c>
      <c r="F158" s="32">
        <f>MAX(0.03,MIN(0.18,NORMINV(RAND(),$C$9,$C$10)))</f>
        <v/>
      </c>
      <c r="G158" s="32">
        <f>MAX(0.02,MIN(0.9,NORMINV(RAND(),$C$11,0.10)))</f>
        <v/>
      </c>
      <c r="H158" s="32">
        <f>MAX(0.02,MIN(0.98,NORMINV(RAND(),$C$13,0.15)))</f>
        <v/>
      </c>
      <c r="I158" s="32">
        <f>MAX(0,NORMINV(RAND(),$C$14,0.033))</f>
        <v/>
      </c>
      <c r="J158" s="33">
        <f>($C$7*$C$8/365)*F158</f>
        <v/>
      </c>
      <c r="K158" s="33">
        <f>$C$7*G158*$C$12*H158</f>
        <v/>
      </c>
      <c r="L158" s="33">
        <f>$C$7*I158*$C$15</f>
        <v/>
      </c>
      <c r="M158" s="33">
        <f>J158-K158-L158</f>
        <v/>
      </c>
    </row>
    <row r="159">
      <c r="E159" s="20" t="n">
        <v>151</v>
      </c>
      <c r="F159" s="32">
        <f>MAX(0.03,MIN(0.18,NORMINV(RAND(),$C$9,$C$10)))</f>
        <v/>
      </c>
      <c r="G159" s="32">
        <f>MAX(0.02,MIN(0.9,NORMINV(RAND(),$C$11,0.10)))</f>
        <v/>
      </c>
      <c r="H159" s="32">
        <f>MAX(0.02,MIN(0.98,NORMINV(RAND(),$C$13,0.15)))</f>
        <v/>
      </c>
      <c r="I159" s="32">
        <f>MAX(0,NORMINV(RAND(),$C$14,0.033))</f>
        <v/>
      </c>
      <c r="J159" s="33">
        <f>($C$7*$C$8/365)*F159</f>
        <v/>
      </c>
      <c r="K159" s="33">
        <f>$C$7*G159*$C$12*H159</f>
        <v/>
      </c>
      <c r="L159" s="33">
        <f>$C$7*I159*$C$15</f>
        <v/>
      </c>
      <c r="M159" s="33">
        <f>J159-K159-L159</f>
        <v/>
      </c>
    </row>
    <row r="160">
      <c r="E160" s="20" t="n">
        <v>152</v>
      </c>
      <c r="F160" s="32">
        <f>MAX(0.03,MIN(0.18,NORMINV(RAND(),$C$9,$C$10)))</f>
        <v/>
      </c>
      <c r="G160" s="32">
        <f>MAX(0.02,MIN(0.9,NORMINV(RAND(),$C$11,0.10)))</f>
        <v/>
      </c>
      <c r="H160" s="32">
        <f>MAX(0.02,MIN(0.98,NORMINV(RAND(),$C$13,0.15)))</f>
        <v/>
      </c>
      <c r="I160" s="32">
        <f>MAX(0,NORMINV(RAND(),$C$14,0.033))</f>
        <v/>
      </c>
      <c r="J160" s="33">
        <f>($C$7*$C$8/365)*F160</f>
        <v/>
      </c>
      <c r="K160" s="33">
        <f>$C$7*G160*$C$12*H160</f>
        <v/>
      </c>
      <c r="L160" s="33">
        <f>$C$7*I160*$C$15</f>
        <v/>
      </c>
      <c r="M160" s="33">
        <f>J160-K160-L160</f>
        <v/>
      </c>
    </row>
    <row r="161">
      <c r="E161" s="20" t="n">
        <v>153</v>
      </c>
      <c r="F161" s="32">
        <f>MAX(0.03,MIN(0.18,NORMINV(RAND(),$C$9,$C$10)))</f>
        <v/>
      </c>
      <c r="G161" s="32">
        <f>MAX(0.02,MIN(0.9,NORMINV(RAND(),$C$11,0.10)))</f>
        <v/>
      </c>
      <c r="H161" s="32">
        <f>MAX(0.02,MIN(0.98,NORMINV(RAND(),$C$13,0.15)))</f>
        <v/>
      </c>
      <c r="I161" s="32">
        <f>MAX(0,NORMINV(RAND(),$C$14,0.033))</f>
        <v/>
      </c>
      <c r="J161" s="33">
        <f>($C$7*$C$8/365)*F161</f>
        <v/>
      </c>
      <c r="K161" s="33">
        <f>$C$7*G161*$C$12*H161</f>
        <v/>
      </c>
      <c r="L161" s="33">
        <f>$C$7*I161*$C$15</f>
        <v/>
      </c>
      <c r="M161" s="33">
        <f>J161-K161-L161</f>
        <v/>
      </c>
    </row>
    <row r="162">
      <c r="E162" s="20" t="n">
        <v>154</v>
      </c>
      <c r="F162" s="32">
        <f>MAX(0.03,MIN(0.18,NORMINV(RAND(),$C$9,$C$10)))</f>
        <v/>
      </c>
      <c r="G162" s="32">
        <f>MAX(0.02,MIN(0.9,NORMINV(RAND(),$C$11,0.10)))</f>
        <v/>
      </c>
      <c r="H162" s="32">
        <f>MAX(0.02,MIN(0.98,NORMINV(RAND(),$C$13,0.15)))</f>
        <v/>
      </c>
      <c r="I162" s="32">
        <f>MAX(0,NORMINV(RAND(),$C$14,0.033))</f>
        <v/>
      </c>
      <c r="J162" s="33">
        <f>($C$7*$C$8/365)*F162</f>
        <v/>
      </c>
      <c r="K162" s="33">
        <f>$C$7*G162*$C$12*H162</f>
        <v/>
      </c>
      <c r="L162" s="33">
        <f>$C$7*I162*$C$15</f>
        <v/>
      </c>
      <c r="M162" s="33">
        <f>J162-K162-L162</f>
        <v/>
      </c>
    </row>
    <row r="163">
      <c r="E163" s="20" t="n">
        <v>155</v>
      </c>
      <c r="F163" s="32">
        <f>MAX(0.03,MIN(0.18,NORMINV(RAND(),$C$9,$C$10)))</f>
        <v/>
      </c>
      <c r="G163" s="32">
        <f>MAX(0.02,MIN(0.9,NORMINV(RAND(),$C$11,0.10)))</f>
        <v/>
      </c>
      <c r="H163" s="32">
        <f>MAX(0.02,MIN(0.98,NORMINV(RAND(),$C$13,0.15)))</f>
        <v/>
      </c>
      <c r="I163" s="32">
        <f>MAX(0,NORMINV(RAND(),$C$14,0.033))</f>
        <v/>
      </c>
      <c r="J163" s="33">
        <f>($C$7*$C$8/365)*F163</f>
        <v/>
      </c>
      <c r="K163" s="33">
        <f>$C$7*G163*$C$12*H163</f>
        <v/>
      </c>
      <c r="L163" s="33">
        <f>$C$7*I163*$C$15</f>
        <v/>
      </c>
      <c r="M163" s="33">
        <f>J163-K163-L163</f>
        <v/>
      </c>
    </row>
    <row r="164">
      <c r="E164" s="20" t="n">
        <v>156</v>
      </c>
      <c r="F164" s="32">
        <f>MAX(0.03,MIN(0.18,NORMINV(RAND(),$C$9,$C$10)))</f>
        <v/>
      </c>
      <c r="G164" s="32">
        <f>MAX(0.02,MIN(0.9,NORMINV(RAND(),$C$11,0.10)))</f>
        <v/>
      </c>
      <c r="H164" s="32">
        <f>MAX(0.02,MIN(0.98,NORMINV(RAND(),$C$13,0.15)))</f>
        <v/>
      </c>
      <c r="I164" s="32">
        <f>MAX(0,NORMINV(RAND(),$C$14,0.033))</f>
        <v/>
      </c>
      <c r="J164" s="33">
        <f>($C$7*$C$8/365)*F164</f>
        <v/>
      </c>
      <c r="K164" s="33">
        <f>$C$7*G164*$C$12*H164</f>
        <v/>
      </c>
      <c r="L164" s="33">
        <f>$C$7*I164*$C$15</f>
        <v/>
      </c>
      <c r="M164" s="33">
        <f>J164-K164-L164</f>
        <v/>
      </c>
    </row>
    <row r="165">
      <c r="E165" s="20" t="n">
        <v>157</v>
      </c>
      <c r="F165" s="32">
        <f>MAX(0.03,MIN(0.18,NORMINV(RAND(),$C$9,$C$10)))</f>
        <v/>
      </c>
      <c r="G165" s="32">
        <f>MAX(0.02,MIN(0.9,NORMINV(RAND(),$C$11,0.10)))</f>
        <v/>
      </c>
      <c r="H165" s="32">
        <f>MAX(0.02,MIN(0.98,NORMINV(RAND(),$C$13,0.15)))</f>
        <v/>
      </c>
      <c r="I165" s="32">
        <f>MAX(0,NORMINV(RAND(),$C$14,0.033))</f>
        <v/>
      </c>
      <c r="J165" s="33">
        <f>($C$7*$C$8/365)*F165</f>
        <v/>
      </c>
      <c r="K165" s="33">
        <f>$C$7*G165*$C$12*H165</f>
        <v/>
      </c>
      <c r="L165" s="33">
        <f>$C$7*I165*$C$15</f>
        <v/>
      </c>
      <c r="M165" s="33">
        <f>J165-K165-L165</f>
        <v/>
      </c>
    </row>
    <row r="166">
      <c r="E166" s="20" t="n">
        <v>158</v>
      </c>
      <c r="F166" s="32">
        <f>MAX(0.03,MIN(0.18,NORMINV(RAND(),$C$9,$C$10)))</f>
        <v/>
      </c>
      <c r="G166" s="32">
        <f>MAX(0.02,MIN(0.9,NORMINV(RAND(),$C$11,0.10)))</f>
        <v/>
      </c>
      <c r="H166" s="32">
        <f>MAX(0.02,MIN(0.98,NORMINV(RAND(),$C$13,0.15)))</f>
        <v/>
      </c>
      <c r="I166" s="32">
        <f>MAX(0,NORMINV(RAND(),$C$14,0.033))</f>
        <v/>
      </c>
      <c r="J166" s="33">
        <f>($C$7*$C$8/365)*F166</f>
        <v/>
      </c>
      <c r="K166" s="33">
        <f>$C$7*G166*$C$12*H166</f>
        <v/>
      </c>
      <c r="L166" s="33">
        <f>$C$7*I166*$C$15</f>
        <v/>
      </c>
      <c r="M166" s="33">
        <f>J166-K166-L166</f>
        <v/>
      </c>
    </row>
    <row r="167">
      <c r="E167" s="20" t="n">
        <v>159</v>
      </c>
      <c r="F167" s="32">
        <f>MAX(0.03,MIN(0.18,NORMINV(RAND(),$C$9,$C$10)))</f>
        <v/>
      </c>
      <c r="G167" s="32">
        <f>MAX(0.02,MIN(0.9,NORMINV(RAND(),$C$11,0.10)))</f>
        <v/>
      </c>
      <c r="H167" s="32">
        <f>MAX(0.02,MIN(0.98,NORMINV(RAND(),$C$13,0.15)))</f>
        <v/>
      </c>
      <c r="I167" s="32">
        <f>MAX(0,NORMINV(RAND(),$C$14,0.033))</f>
        <v/>
      </c>
      <c r="J167" s="33">
        <f>($C$7*$C$8/365)*F167</f>
        <v/>
      </c>
      <c r="K167" s="33">
        <f>$C$7*G167*$C$12*H167</f>
        <v/>
      </c>
      <c r="L167" s="33">
        <f>$C$7*I167*$C$15</f>
        <v/>
      </c>
      <c r="M167" s="33">
        <f>J167-K167-L167</f>
        <v/>
      </c>
    </row>
    <row r="168">
      <c r="E168" s="20" t="n">
        <v>160</v>
      </c>
      <c r="F168" s="32">
        <f>MAX(0.03,MIN(0.18,NORMINV(RAND(),$C$9,$C$10)))</f>
        <v/>
      </c>
      <c r="G168" s="32">
        <f>MAX(0.02,MIN(0.9,NORMINV(RAND(),$C$11,0.10)))</f>
        <v/>
      </c>
      <c r="H168" s="32">
        <f>MAX(0.02,MIN(0.98,NORMINV(RAND(),$C$13,0.15)))</f>
        <v/>
      </c>
      <c r="I168" s="32">
        <f>MAX(0,NORMINV(RAND(),$C$14,0.033))</f>
        <v/>
      </c>
      <c r="J168" s="33">
        <f>($C$7*$C$8/365)*F168</f>
        <v/>
      </c>
      <c r="K168" s="33">
        <f>$C$7*G168*$C$12*H168</f>
        <v/>
      </c>
      <c r="L168" s="33">
        <f>$C$7*I168*$C$15</f>
        <v/>
      </c>
      <c r="M168" s="33">
        <f>J168-K168-L168</f>
        <v/>
      </c>
    </row>
    <row r="169">
      <c r="E169" s="20" t="n">
        <v>161</v>
      </c>
      <c r="F169" s="32">
        <f>MAX(0.03,MIN(0.18,NORMINV(RAND(),$C$9,$C$10)))</f>
        <v/>
      </c>
      <c r="G169" s="32">
        <f>MAX(0.02,MIN(0.9,NORMINV(RAND(),$C$11,0.10)))</f>
        <v/>
      </c>
      <c r="H169" s="32">
        <f>MAX(0.02,MIN(0.98,NORMINV(RAND(),$C$13,0.15)))</f>
        <v/>
      </c>
      <c r="I169" s="32">
        <f>MAX(0,NORMINV(RAND(),$C$14,0.033))</f>
        <v/>
      </c>
      <c r="J169" s="33">
        <f>($C$7*$C$8/365)*F169</f>
        <v/>
      </c>
      <c r="K169" s="33">
        <f>$C$7*G169*$C$12*H169</f>
        <v/>
      </c>
      <c r="L169" s="33">
        <f>$C$7*I169*$C$15</f>
        <v/>
      </c>
      <c r="M169" s="33">
        <f>J169-K169-L169</f>
        <v/>
      </c>
    </row>
    <row r="170">
      <c r="E170" s="20" t="n">
        <v>162</v>
      </c>
      <c r="F170" s="32">
        <f>MAX(0.03,MIN(0.18,NORMINV(RAND(),$C$9,$C$10)))</f>
        <v/>
      </c>
      <c r="G170" s="32">
        <f>MAX(0.02,MIN(0.9,NORMINV(RAND(),$C$11,0.10)))</f>
        <v/>
      </c>
      <c r="H170" s="32">
        <f>MAX(0.02,MIN(0.98,NORMINV(RAND(),$C$13,0.15)))</f>
        <v/>
      </c>
      <c r="I170" s="32">
        <f>MAX(0,NORMINV(RAND(),$C$14,0.033))</f>
        <v/>
      </c>
      <c r="J170" s="33">
        <f>($C$7*$C$8/365)*F170</f>
        <v/>
      </c>
      <c r="K170" s="33">
        <f>$C$7*G170*$C$12*H170</f>
        <v/>
      </c>
      <c r="L170" s="33">
        <f>$C$7*I170*$C$15</f>
        <v/>
      </c>
      <c r="M170" s="33">
        <f>J170-K170-L170</f>
        <v/>
      </c>
    </row>
    <row r="171">
      <c r="E171" s="20" t="n">
        <v>163</v>
      </c>
      <c r="F171" s="32">
        <f>MAX(0.03,MIN(0.18,NORMINV(RAND(),$C$9,$C$10)))</f>
        <v/>
      </c>
      <c r="G171" s="32">
        <f>MAX(0.02,MIN(0.9,NORMINV(RAND(),$C$11,0.10)))</f>
        <v/>
      </c>
      <c r="H171" s="32">
        <f>MAX(0.02,MIN(0.98,NORMINV(RAND(),$C$13,0.15)))</f>
        <v/>
      </c>
      <c r="I171" s="32">
        <f>MAX(0,NORMINV(RAND(),$C$14,0.033))</f>
        <v/>
      </c>
      <c r="J171" s="33">
        <f>($C$7*$C$8/365)*F171</f>
        <v/>
      </c>
      <c r="K171" s="33">
        <f>$C$7*G171*$C$12*H171</f>
        <v/>
      </c>
      <c r="L171" s="33">
        <f>$C$7*I171*$C$15</f>
        <v/>
      </c>
      <c r="M171" s="33">
        <f>J171-K171-L171</f>
        <v/>
      </c>
    </row>
    <row r="172">
      <c r="E172" s="20" t="n">
        <v>164</v>
      </c>
      <c r="F172" s="32">
        <f>MAX(0.03,MIN(0.18,NORMINV(RAND(),$C$9,$C$10)))</f>
        <v/>
      </c>
      <c r="G172" s="32">
        <f>MAX(0.02,MIN(0.9,NORMINV(RAND(),$C$11,0.10)))</f>
        <v/>
      </c>
      <c r="H172" s="32">
        <f>MAX(0.02,MIN(0.98,NORMINV(RAND(),$C$13,0.15)))</f>
        <v/>
      </c>
      <c r="I172" s="32">
        <f>MAX(0,NORMINV(RAND(),$C$14,0.033))</f>
        <v/>
      </c>
      <c r="J172" s="33">
        <f>($C$7*$C$8/365)*F172</f>
        <v/>
      </c>
      <c r="K172" s="33">
        <f>$C$7*G172*$C$12*H172</f>
        <v/>
      </c>
      <c r="L172" s="33">
        <f>$C$7*I172*$C$15</f>
        <v/>
      </c>
      <c r="M172" s="33">
        <f>J172-K172-L172</f>
        <v/>
      </c>
    </row>
    <row r="173">
      <c r="E173" s="20" t="n">
        <v>165</v>
      </c>
      <c r="F173" s="32">
        <f>MAX(0.03,MIN(0.18,NORMINV(RAND(),$C$9,$C$10)))</f>
        <v/>
      </c>
      <c r="G173" s="32">
        <f>MAX(0.02,MIN(0.9,NORMINV(RAND(),$C$11,0.10)))</f>
        <v/>
      </c>
      <c r="H173" s="32">
        <f>MAX(0.02,MIN(0.98,NORMINV(RAND(),$C$13,0.15)))</f>
        <v/>
      </c>
      <c r="I173" s="32">
        <f>MAX(0,NORMINV(RAND(),$C$14,0.033))</f>
        <v/>
      </c>
      <c r="J173" s="33">
        <f>($C$7*$C$8/365)*F173</f>
        <v/>
      </c>
      <c r="K173" s="33">
        <f>$C$7*G173*$C$12*H173</f>
        <v/>
      </c>
      <c r="L173" s="33">
        <f>$C$7*I173*$C$15</f>
        <v/>
      </c>
      <c r="M173" s="33">
        <f>J173-K173-L173</f>
        <v/>
      </c>
    </row>
    <row r="174">
      <c r="E174" s="20" t="n">
        <v>166</v>
      </c>
      <c r="F174" s="32">
        <f>MAX(0.03,MIN(0.18,NORMINV(RAND(),$C$9,$C$10)))</f>
        <v/>
      </c>
      <c r="G174" s="32">
        <f>MAX(0.02,MIN(0.9,NORMINV(RAND(),$C$11,0.10)))</f>
        <v/>
      </c>
      <c r="H174" s="32">
        <f>MAX(0.02,MIN(0.98,NORMINV(RAND(),$C$13,0.15)))</f>
        <v/>
      </c>
      <c r="I174" s="32">
        <f>MAX(0,NORMINV(RAND(),$C$14,0.033))</f>
        <v/>
      </c>
      <c r="J174" s="33">
        <f>($C$7*$C$8/365)*F174</f>
        <v/>
      </c>
      <c r="K174" s="33">
        <f>$C$7*G174*$C$12*H174</f>
        <v/>
      </c>
      <c r="L174" s="33">
        <f>$C$7*I174*$C$15</f>
        <v/>
      </c>
      <c r="M174" s="33">
        <f>J174-K174-L174</f>
        <v/>
      </c>
    </row>
    <row r="175">
      <c r="E175" s="20" t="n">
        <v>167</v>
      </c>
      <c r="F175" s="32">
        <f>MAX(0.03,MIN(0.18,NORMINV(RAND(),$C$9,$C$10)))</f>
        <v/>
      </c>
      <c r="G175" s="32">
        <f>MAX(0.02,MIN(0.9,NORMINV(RAND(),$C$11,0.10)))</f>
        <v/>
      </c>
      <c r="H175" s="32">
        <f>MAX(0.02,MIN(0.98,NORMINV(RAND(),$C$13,0.15)))</f>
        <v/>
      </c>
      <c r="I175" s="32">
        <f>MAX(0,NORMINV(RAND(),$C$14,0.033))</f>
        <v/>
      </c>
      <c r="J175" s="33">
        <f>($C$7*$C$8/365)*F175</f>
        <v/>
      </c>
      <c r="K175" s="33">
        <f>$C$7*G175*$C$12*H175</f>
        <v/>
      </c>
      <c r="L175" s="33">
        <f>$C$7*I175*$C$15</f>
        <v/>
      </c>
      <c r="M175" s="33">
        <f>J175-K175-L175</f>
        <v/>
      </c>
    </row>
    <row r="176">
      <c r="E176" s="20" t="n">
        <v>168</v>
      </c>
      <c r="F176" s="32">
        <f>MAX(0.03,MIN(0.18,NORMINV(RAND(),$C$9,$C$10)))</f>
        <v/>
      </c>
      <c r="G176" s="32">
        <f>MAX(0.02,MIN(0.9,NORMINV(RAND(),$C$11,0.10)))</f>
        <v/>
      </c>
      <c r="H176" s="32">
        <f>MAX(0.02,MIN(0.98,NORMINV(RAND(),$C$13,0.15)))</f>
        <v/>
      </c>
      <c r="I176" s="32">
        <f>MAX(0,NORMINV(RAND(),$C$14,0.033))</f>
        <v/>
      </c>
      <c r="J176" s="33">
        <f>($C$7*$C$8/365)*F176</f>
        <v/>
      </c>
      <c r="K176" s="33">
        <f>$C$7*G176*$C$12*H176</f>
        <v/>
      </c>
      <c r="L176" s="33">
        <f>$C$7*I176*$C$15</f>
        <v/>
      </c>
      <c r="M176" s="33">
        <f>J176-K176-L176</f>
        <v/>
      </c>
    </row>
    <row r="177">
      <c r="E177" s="20" t="n">
        <v>169</v>
      </c>
      <c r="F177" s="32">
        <f>MAX(0.03,MIN(0.18,NORMINV(RAND(),$C$9,$C$10)))</f>
        <v/>
      </c>
      <c r="G177" s="32">
        <f>MAX(0.02,MIN(0.9,NORMINV(RAND(),$C$11,0.10)))</f>
        <v/>
      </c>
      <c r="H177" s="32">
        <f>MAX(0.02,MIN(0.98,NORMINV(RAND(),$C$13,0.15)))</f>
        <v/>
      </c>
      <c r="I177" s="32">
        <f>MAX(0,NORMINV(RAND(),$C$14,0.033))</f>
        <v/>
      </c>
      <c r="J177" s="33">
        <f>($C$7*$C$8/365)*F177</f>
        <v/>
      </c>
      <c r="K177" s="33">
        <f>$C$7*G177*$C$12*H177</f>
        <v/>
      </c>
      <c r="L177" s="33">
        <f>$C$7*I177*$C$15</f>
        <v/>
      </c>
      <c r="M177" s="33">
        <f>J177-K177-L177</f>
        <v/>
      </c>
    </row>
    <row r="178">
      <c r="E178" s="20" t="n">
        <v>170</v>
      </c>
      <c r="F178" s="32">
        <f>MAX(0.03,MIN(0.18,NORMINV(RAND(),$C$9,$C$10)))</f>
        <v/>
      </c>
      <c r="G178" s="32">
        <f>MAX(0.02,MIN(0.9,NORMINV(RAND(),$C$11,0.10)))</f>
        <v/>
      </c>
      <c r="H178" s="32">
        <f>MAX(0.02,MIN(0.98,NORMINV(RAND(),$C$13,0.15)))</f>
        <v/>
      </c>
      <c r="I178" s="32">
        <f>MAX(0,NORMINV(RAND(),$C$14,0.033))</f>
        <v/>
      </c>
      <c r="J178" s="33">
        <f>($C$7*$C$8/365)*F178</f>
        <v/>
      </c>
      <c r="K178" s="33">
        <f>$C$7*G178*$C$12*H178</f>
        <v/>
      </c>
      <c r="L178" s="33">
        <f>$C$7*I178*$C$15</f>
        <v/>
      </c>
      <c r="M178" s="33">
        <f>J178-K178-L178</f>
        <v/>
      </c>
    </row>
    <row r="179">
      <c r="E179" s="20" t="n">
        <v>171</v>
      </c>
      <c r="F179" s="32">
        <f>MAX(0.03,MIN(0.18,NORMINV(RAND(),$C$9,$C$10)))</f>
        <v/>
      </c>
      <c r="G179" s="32">
        <f>MAX(0.02,MIN(0.9,NORMINV(RAND(),$C$11,0.10)))</f>
        <v/>
      </c>
      <c r="H179" s="32">
        <f>MAX(0.02,MIN(0.98,NORMINV(RAND(),$C$13,0.15)))</f>
        <v/>
      </c>
      <c r="I179" s="32">
        <f>MAX(0,NORMINV(RAND(),$C$14,0.033))</f>
        <v/>
      </c>
      <c r="J179" s="33">
        <f>($C$7*$C$8/365)*F179</f>
        <v/>
      </c>
      <c r="K179" s="33">
        <f>$C$7*G179*$C$12*H179</f>
        <v/>
      </c>
      <c r="L179" s="33">
        <f>$C$7*I179*$C$15</f>
        <v/>
      </c>
      <c r="M179" s="33">
        <f>J179-K179-L179</f>
        <v/>
      </c>
    </row>
    <row r="180">
      <c r="E180" s="20" t="n">
        <v>172</v>
      </c>
      <c r="F180" s="32">
        <f>MAX(0.03,MIN(0.18,NORMINV(RAND(),$C$9,$C$10)))</f>
        <v/>
      </c>
      <c r="G180" s="32">
        <f>MAX(0.02,MIN(0.9,NORMINV(RAND(),$C$11,0.10)))</f>
        <v/>
      </c>
      <c r="H180" s="32">
        <f>MAX(0.02,MIN(0.98,NORMINV(RAND(),$C$13,0.15)))</f>
        <v/>
      </c>
      <c r="I180" s="32">
        <f>MAX(0,NORMINV(RAND(),$C$14,0.033))</f>
        <v/>
      </c>
      <c r="J180" s="33">
        <f>($C$7*$C$8/365)*F180</f>
        <v/>
      </c>
      <c r="K180" s="33">
        <f>$C$7*G180*$C$12*H180</f>
        <v/>
      </c>
      <c r="L180" s="33">
        <f>$C$7*I180*$C$15</f>
        <v/>
      </c>
      <c r="M180" s="33">
        <f>J180-K180-L180</f>
        <v/>
      </c>
    </row>
    <row r="181">
      <c r="E181" s="20" t="n">
        <v>173</v>
      </c>
      <c r="F181" s="32">
        <f>MAX(0.03,MIN(0.18,NORMINV(RAND(),$C$9,$C$10)))</f>
        <v/>
      </c>
      <c r="G181" s="32">
        <f>MAX(0.02,MIN(0.9,NORMINV(RAND(),$C$11,0.10)))</f>
        <v/>
      </c>
      <c r="H181" s="32">
        <f>MAX(0.02,MIN(0.98,NORMINV(RAND(),$C$13,0.15)))</f>
        <v/>
      </c>
      <c r="I181" s="32">
        <f>MAX(0,NORMINV(RAND(),$C$14,0.033))</f>
        <v/>
      </c>
      <c r="J181" s="33">
        <f>($C$7*$C$8/365)*F181</f>
        <v/>
      </c>
      <c r="K181" s="33">
        <f>$C$7*G181*$C$12*H181</f>
        <v/>
      </c>
      <c r="L181" s="33">
        <f>$C$7*I181*$C$15</f>
        <v/>
      </c>
      <c r="M181" s="33">
        <f>J181-K181-L181</f>
        <v/>
      </c>
    </row>
    <row r="182">
      <c r="E182" s="20" t="n">
        <v>174</v>
      </c>
      <c r="F182" s="32">
        <f>MAX(0.03,MIN(0.18,NORMINV(RAND(),$C$9,$C$10)))</f>
        <v/>
      </c>
      <c r="G182" s="32">
        <f>MAX(0.02,MIN(0.9,NORMINV(RAND(),$C$11,0.10)))</f>
        <v/>
      </c>
      <c r="H182" s="32">
        <f>MAX(0.02,MIN(0.98,NORMINV(RAND(),$C$13,0.15)))</f>
        <v/>
      </c>
      <c r="I182" s="32">
        <f>MAX(0,NORMINV(RAND(),$C$14,0.033))</f>
        <v/>
      </c>
      <c r="J182" s="33">
        <f>($C$7*$C$8/365)*F182</f>
        <v/>
      </c>
      <c r="K182" s="33">
        <f>$C$7*G182*$C$12*H182</f>
        <v/>
      </c>
      <c r="L182" s="33">
        <f>$C$7*I182*$C$15</f>
        <v/>
      </c>
      <c r="M182" s="33">
        <f>J182-K182-L182</f>
        <v/>
      </c>
    </row>
    <row r="183">
      <c r="E183" s="20" t="n">
        <v>175</v>
      </c>
      <c r="F183" s="32">
        <f>MAX(0.03,MIN(0.18,NORMINV(RAND(),$C$9,$C$10)))</f>
        <v/>
      </c>
      <c r="G183" s="32">
        <f>MAX(0.02,MIN(0.9,NORMINV(RAND(),$C$11,0.10)))</f>
        <v/>
      </c>
      <c r="H183" s="32">
        <f>MAX(0.02,MIN(0.98,NORMINV(RAND(),$C$13,0.15)))</f>
        <v/>
      </c>
      <c r="I183" s="32">
        <f>MAX(0,NORMINV(RAND(),$C$14,0.033))</f>
        <v/>
      </c>
      <c r="J183" s="33">
        <f>($C$7*$C$8/365)*F183</f>
        <v/>
      </c>
      <c r="K183" s="33">
        <f>$C$7*G183*$C$12*H183</f>
        <v/>
      </c>
      <c r="L183" s="33">
        <f>$C$7*I183*$C$15</f>
        <v/>
      </c>
      <c r="M183" s="33">
        <f>J183-K183-L183</f>
        <v/>
      </c>
    </row>
    <row r="184">
      <c r="E184" s="20" t="n">
        <v>176</v>
      </c>
      <c r="F184" s="32">
        <f>MAX(0.03,MIN(0.18,NORMINV(RAND(),$C$9,$C$10)))</f>
        <v/>
      </c>
      <c r="G184" s="32">
        <f>MAX(0.02,MIN(0.9,NORMINV(RAND(),$C$11,0.10)))</f>
        <v/>
      </c>
      <c r="H184" s="32">
        <f>MAX(0.02,MIN(0.98,NORMINV(RAND(),$C$13,0.15)))</f>
        <v/>
      </c>
      <c r="I184" s="32">
        <f>MAX(0,NORMINV(RAND(),$C$14,0.033))</f>
        <v/>
      </c>
      <c r="J184" s="33">
        <f>($C$7*$C$8/365)*F184</f>
        <v/>
      </c>
      <c r="K184" s="33">
        <f>$C$7*G184*$C$12*H184</f>
        <v/>
      </c>
      <c r="L184" s="33">
        <f>$C$7*I184*$C$15</f>
        <v/>
      </c>
      <c r="M184" s="33">
        <f>J184-K184-L184</f>
        <v/>
      </c>
    </row>
    <row r="185">
      <c r="E185" s="20" t="n">
        <v>177</v>
      </c>
      <c r="F185" s="32">
        <f>MAX(0.03,MIN(0.18,NORMINV(RAND(),$C$9,$C$10)))</f>
        <v/>
      </c>
      <c r="G185" s="32">
        <f>MAX(0.02,MIN(0.9,NORMINV(RAND(),$C$11,0.10)))</f>
        <v/>
      </c>
      <c r="H185" s="32">
        <f>MAX(0.02,MIN(0.98,NORMINV(RAND(),$C$13,0.15)))</f>
        <v/>
      </c>
      <c r="I185" s="32">
        <f>MAX(0,NORMINV(RAND(),$C$14,0.033))</f>
        <v/>
      </c>
      <c r="J185" s="33">
        <f>($C$7*$C$8/365)*F185</f>
        <v/>
      </c>
      <c r="K185" s="33">
        <f>$C$7*G185*$C$12*H185</f>
        <v/>
      </c>
      <c r="L185" s="33">
        <f>$C$7*I185*$C$15</f>
        <v/>
      </c>
      <c r="M185" s="33">
        <f>J185-K185-L185</f>
        <v/>
      </c>
    </row>
    <row r="186">
      <c r="E186" s="20" t="n">
        <v>178</v>
      </c>
      <c r="F186" s="32">
        <f>MAX(0.03,MIN(0.18,NORMINV(RAND(),$C$9,$C$10)))</f>
        <v/>
      </c>
      <c r="G186" s="32">
        <f>MAX(0.02,MIN(0.9,NORMINV(RAND(),$C$11,0.10)))</f>
        <v/>
      </c>
      <c r="H186" s="32">
        <f>MAX(0.02,MIN(0.98,NORMINV(RAND(),$C$13,0.15)))</f>
        <v/>
      </c>
      <c r="I186" s="32">
        <f>MAX(0,NORMINV(RAND(),$C$14,0.033))</f>
        <v/>
      </c>
      <c r="J186" s="33">
        <f>($C$7*$C$8/365)*F186</f>
        <v/>
      </c>
      <c r="K186" s="33">
        <f>$C$7*G186*$C$12*H186</f>
        <v/>
      </c>
      <c r="L186" s="33">
        <f>$C$7*I186*$C$15</f>
        <v/>
      </c>
      <c r="M186" s="33">
        <f>J186-K186-L186</f>
        <v/>
      </c>
    </row>
    <row r="187">
      <c r="E187" s="20" t="n">
        <v>179</v>
      </c>
      <c r="F187" s="32">
        <f>MAX(0.03,MIN(0.18,NORMINV(RAND(),$C$9,$C$10)))</f>
        <v/>
      </c>
      <c r="G187" s="32">
        <f>MAX(0.02,MIN(0.9,NORMINV(RAND(),$C$11,0.10)))</f>
        <v/>
      </c>
      <c r="H187" s="32">
        <f>MAX(0.02,MIN(0.98,NORMINV(RAND(),$C$13,0.15)))</f>
        <v/>
      </c>
      <c r="I187" s="32">
        <f>MAX(0,NORMINV(RAND(),$C$14,0.033))</f>
        <v/>
      </c>
      <c r="J187" s="33">
        <f>($C$7*$C$8/365)*F187</f>
        <v/>
      </c>
      <c r="K187" s="33">
        <f>$C$7*G187*$C$12*H187</f>
        <v/>
      </c>
      <c r="L187" s="33">
        <f>$C$7*I187*$C$15</f>
        <v/>
      </c>
      <c r="M187" s="33">
        <f>J187-K187-L187</f>
        <v/>
      </c>
    </row>
    <row r="188">
      <c r="E188" s="20" t="n">
        <v>180</v>
      </c>
      <c r="F188" s="32">
        <f>MAX(0.03,MIN(0.18,NORMINV(RAND(),$C$9,$C$10)))</f>
        <v/>
      </c>
      <c r="G188" s="32">
        <f>MAX(0.02,MIN(0.9,NORMINV(RAND(),$C$11,0.10)))</f>
        <v/>
      </c>
      <c r="H188" s="32">
        <f>MAX(0.02,MIN(0.98,NORMINV(RAND(),$C$13,0.15)))</f>
        <v/>
      </c>
      <c r="I188" s="32">
        <f>MAX(0,NORMINV(RAND(),$C$14,0.033))</f>
        <v/>
      </c>
      <c r="J188" s="33">
        <f>($C$7*$C$8/365)*F188</f>
        <v/>
      </c>
      <c r="K188" s="33">
        <f>$C$7*G188*$C$12*H188</f>
        <v/>
      </c>
      <c r="L188" s="33">
        <f>$C$7*I188*$C$15</f>
        <v/>
      </c>
      <c r="M188" s="33">
        <f>J188-K188-L188</f>
        <v/>
      </c>
    </row>
    <row r="189">
      <c r="E189" s="20" t="n">
        <v>181</v>
      </c>
      <c r="F189" s="32">
        <f>MAX(0.03,MIN(0.18,NORMINV(RAND(),$C$9,$C$10)))</f>
        <v/>
      </c>
      <c r="G189" s="32">
        <f>MAX(0.02,MIN(0.9,NORMINV(RAND(),$C$11,0.10)))</f>
        <v/>
      </c>
      <c r="H189" s="32">
        <f>MAX(0.02,MIN(0.98,NORMINV(RAND(),$C$13,0.15)))</f>
        <v/>
      </c>
      <c r="I189" s="32">
        <f>MAX(0,NORMINV(RAND(),$C$14,0.033))</f>
        <v/>
      </c>
      <c r="J189" s="33">
        <f>($C$7*$C$8/365)*F189</f>
        <v/>
      </c>
      <c r="K189" s="33">
        <f>$C$7*G189*$C$12*H189</f>
        <v/>
      </c>
      <c r="L189" s="33">
        <f>$C$7*I189*$C$15</f>
        <v/>
      </c>
      <c r="M189" s="33">
        <f>J189-K189-L189</f>
        <v/>
      </c>
    </row>
    <row r="190">
      <c r="E190" s="20" t="n">
        <v>182</v>
      </c>
      <c r="F190" s="32">
        <f>MAX(0.03,MIN(0.18,NORMINV(RAND(),$C$9,$C$10)))</f>
        <v/>
      </c>
      <c r="G190" s="32">
        <f>MAX(0.02,MIN(0.9,NORMINV(RAND(),$C$11,0.10)))</f>
        <v/>
      </c>
      <c r="H190" s="32">
        <f>MAX(0.02,MIN(0.98,NORMINV(RAND(),$C$13,0.15)))</f>
        <v/>
      </c>
      <c r="I190" s="32">
        <f>MAX(0,NORMINV(RAND(),$C$14,0.033))</f>
        <v/>
      </c>
      <c r="J190" s="33">
        <f>($C$7*$C$8/365)*F190</f>
        <v/>
      </c>
      <c r="K190" s="33">
        <f>$C$7*G190*$C$12*H190</f>
        <v/>
      </c>
      <c r="L190" s="33">
        <f>$C$7*I190*$C$15</f>
        <v/>
      </c>
      <c r="M190" s="33">
        <f>J190-K190-L190</f>
        <v/>
      </c>
    </row>
    <row r="191">
      <c r="E191" s="20" t="n">
        <v>183</v>
      </c>
      <c r="F191" s="32">
        <f>MAX(0.03,MIN(0.18,NORMINV(RAND(),$C$9,$C$10)))</f>
        <v/>
      </c>
      <c r="G191" s="32">
        <f>MAX(0.02,MIN(0.9,NORMINV(RAND(),$C$11,0.10)))</f>
        <v/>
      </c>
      <c r="H191" s="32">
        <f>MAX(0.02,MIN(0.98,NORMINV(RAND(),$C$13,0.15)))</f>
        <v/>
      </c>
      <c r="I191" s="32">
        <f>MAX(0,NORMINV(RAND(),$C$14,0.033))</f>
        <v/>
      </c>
      <c r="J191" s="33">
        <f>($C$7*$C$8/365)*F191</f>
        <v/>
      </c>
      <c r="K191" s="33">
        <f>$C$7*G191*$C$12*H191</f>
        <v/>
      </c>
      <c r="L191" s="33">
        <f>$C$7*I191*$C$15</f>
        <v/>
      </c>
      <c r="M191" s="33">
        <f>J191-K191-L191</f>
        <v/>
      </c>
    </row>
    <row r="192">
      <c r="E192" s="20" t="n">
        <v>184</v>
      </c>
      <c r="F192" s="32">
        <f>MAX(0.03,MIN(0.18,NORMINV(RAND(),$C$9,$C$10)))</f>
        <v/>
      </c>
      <c r="G192" s="32">
        <f>MAX(0.02,MIN(0.9,NORMINV(RAND(),$C$11,0.10)))</f>
        <v/>
      </c>
      <c r="H192" s="32">
        <f>MAX(0.02,MIN(0.98,NORMINV(RAND(),$C$13,0.15)))</f>
        <v/>
      </c>
      <c r="I192" s="32">
        <f>MAX(0,NORMINV(RAND(),$C$14,0.033))</f>
        <v/>
      </c>
      <c r="J192" s="33">
        <f>($C$7*$C$8/365)*F192</f>
        <v/>
      </c>
      <c r="K192" s="33">
        <f>$C$7*G192*$C$12*H192</f>
        <v/>
      </c>
      <c r="L192" s="33">
        <f>$C$7*I192*$C$15</f>
        <v/>
      </c>
      <c r="M192" s="33">
        <f>J192-K192-L192</f>
        <v/>
      </c>
    </row>
    <row r="193">
      <c r="E193" s="20" t="n">
        <v>185</v>
      </c>
      <c r="F193" s="32">
        <f>MAX(0.03,MIN(0.18,NORMINV(RAND(),$C$9,$C$10)))</f>
        <v/>
      </c>
      <c r="G193" s="32">
        <f>MAX(0.02,MIN(0.9,NORMINV(RAND(),$C$11,0.10)))</f>
        <v/>
      </c>
      <c r="H193" s="32">
        <f>MAX(0.02,MIN(0.98,NORMINV(RAND(),$C$13,0.15)))</f>
        <v/>
      </c>
      <c r="I193" s="32">
        <f>MAX(0,NORMINV(RAND(),$C$14,0.033))</f>
        <v/>
      </c>
      <c r="J193" s="33">
        <f>($C$7*$C$8/365)*F193</f>
        <v/>
      </c>
      <c r="K193" s="33">
        <f>$C$7*G193*$C$12*H193</f>
        <v/>
      </c>
      <c r="L193" s="33">
        <f>$C$7*I193*$C$15</f>
        <v/>
      </c>
      <c r="M193" s="33">
        <f>J193-K193-L193</f>
        <v/>
      </c>
    </row>
    <row r="194">
      <c r="E194" s="20" t="n">
        <v>186</v>
      </c>
      <c r="F194" s="32">
        <f>MAX(0.03,MIN(0.18,NORMINV(RAND(),$C$9,$C$10)))</f>
        <v/>
      </c>
      <c r="G194" s="32">
        <f>MAX(0.02,MIN(0.9,NORMINV(RAND(),$C$11,0.10)))</f>
        <v/>
      </c>
      <c r="H194" s="32">
        <f>MAX(0.02,MIN(0.98,NORMINV(RAND(),$C$13,0.15)))</f>
        <v/>
      </c>
      <c r="I194" s="32">
        <f>MAX(0,NORMINV(RAND(),$C$14,0.033))</f>
        <v/>
      </c>
      <c r="J194" s="33">
        <f>($C$7*$C$8/365)*F194</f>
        <v/>
      </c>
      <c r="K194" s="33">
        <f>$C$7*G194*$C$12*H194</f>
        <v/>
      </c>
      <c r="L194" s="33">
        <f>$C$7*I194*$C$15</f>
        <v/>
      </c>
      <c r="M194" s="33">
        <f>J194-K194-L194</f>
        <v/>
      </c>
    </row>
    <row r="195">
      <c r="E195" s="20" t="n">
        <v>187</v>
      </c>
      <c r="F195" s="32">
        <f>MAX(0.03,MIN(0.18,NORMINV(RAND(),$C$9,$C$10)))</f>
        <v/>
      </c>
      <c r="G195" s="32">
        <f>MAX(0.02,MIN(0.9,NORMINV(RAND(),$C$11,0.10)))</f>
        <v/>
      </c>
      <c r="H195" s="32">
        <f>MAX(0.02,MIN(0.98,NORMINV(RAND(),$C$13,0.15)))</f>
        <v/>
      </c>
      <c r="I195" s="32">
        <f>MAX(0,NORMINV(RAND(),$C$14,0.033))</f>
        <v/>
      </c>
      <c r="J195" s="33">
        <f>($C$7*$C$8/365)*F195</f>
        <v/>
      </c>
      <c r="K195" s="33">
        <f>$C$7*G195*$C$12*H195</f>
        <v/>
      </c>
      <c r="L195" s="33">
        <f>$C$7*I195*$C$15</f>
        <v/>
      </c>
      <c r="M195" s="33">
        <f>J195-K195-L195</f>
        <v/>
      </c>
    </row>
    <row r="196">
      <c r="E196" s="20" t="n">
        <v>188</v>
      </c>
      <c r="F196" s="32">
        <f>MAX(0.03,MIN(0.18,NORMINV(RAND(),$C$9,$C$10)))</f>
        <v/>
      </c>
      <c r="G196" s="32">
        <f>MAX(0.02,MIN(0.9,NORMINV(RAND(),$C$11,0.10)))</f>
        <v/>
      </c>
      <c r="H196" s="32">
        <f>MAX(0.02,MIN(0.98,NORMINV(RAND(),$C$13,0.15)))</f>
        <v/>
      </c>
      <c r="I196" s="32">
        <f>MAX(0,NORMINV(RAND(),$C$14,0.033))</f>
        <v/>
      </c>
      <c r="J196" s="33">
        <f>($C$7*$C$8/365)*F196</f>
        <v/>
      </c>
      <c r="K196" s="33">
        <f>$C$7*G196*$C$12*H196</f>
        <v/>
      </c>
      <c r="L196" s="33">
        <f>$C$7*I196*$C$15</f>
        <v/>
      </c>
      <c r="M196" s="33">
        <f>J196-K196-L196</f>
        <v/>
      </c>
    </row>
    <row r="197">
      <c r="E197" s="20" t="n">
        <v>189</v>
      </c>
      <c r="F197" s="32">
        <f>MAX(0.03,MIN(0.18,NORMINV(RAND(),$C$9,$C$10)))</f>
        <v/>
      </c>
      <c r="G197" s="32">
        <f>MAX(0.02,MIN(0.9,NORMINV(RAND(),$C$11,0.10)))</f>
        <v/>
      </c>
      <c r="H197" s="32">
        <f>MAX(0.02,MIN(0.98,NORMINV(RAND(),$C$13,0.15)))</f>
        <v/>
      </c>
      <c r="I197" s="32">
        <f>MAX(0,NORMINV(RAND(),$C$14,0.033))</f>
        <v/>
      </c>
      <c r="J197" s="33">
        <f>($C$7*$C$8/365)*F197</f>
        <v/>
      </c>
      <c r="K197" s="33">
        <f>$C$7*G197*$C$12*H197</f>
        <v/>
      </c>
      <c r="L197" s="33">
        <f>$C$7*I197*$C$15</f>
        <v/>
      </c>
      <c r="M197" s="33">
        <f>J197-K197-L197</f>
        <v/>
      </c>
    </row>
    <row r="198">
      <c r="E198" s="20" t="n">
        <v>190</v>
      </c>
      <c r="F198" s="32">
        <f>MAX(0.03,MIN(0.18,NORMINV(RAND(),$C$9,$C$10)))</f>
        <v/>
      </c>
      <c r="G198" s="32">
        <f>MAX(0.02,MIN(0.9,NORMINV(RAND(),$C$11,0.10)))</f>
        <v/>
      </c>
      <c r="H198" s="32">
        <f>MAX(0.02,MIN(0.98,NORMINV(RAND(),$C$13,0.15)))</f>
        <v/>
      </c>
      <c r="I198" s="32">
        <f>MAX(0,NORMINV(RAND(),$C$14,0.033))</f>
        <v/>
      </c>
      <c r="J198" s="33">
        <f>($C$7*$C$8/365)*F198</f>
        <v/>
      </c>
      <c r="K198" s="33">
        <f>$C$7*G198*$C$12*H198</f>
        <v/>
      </c>
      <c r="L198" s="33">
        <f>$C$7*I198*$C$15</f>
        <v/>
      </c>
      <c r="M198" s="33">
        <f>J198-K198-L198</f>
        <v/>
      </c>
    </row>
    <row r="199">
      <c r="E199" s="20" t="n">
        <v>191</v>
      </c>
      <c r="F199" s="32">
        <f>MAX(0.03,MIN(0.18,NORMINV(RAND(),$C$9,$C$10)))</f>
        <v/>
      </c>
      <c r="G199" s="32">
        <f>MAX(0.02,MIN(0.9,NORMINV(RAND(),$C$11,0.10)))</f>
        <v/>
      </c>
      <c r="H199" s="32">
        <f>MAX(0.02,MIN(0.98,NORMINV(RAND(),$C$13,0.15)))</f>
        <v/>
      </c>
      <c r="I199" s="32">
        <f>MAX(0,NORMINV(RAND(),$C$14,0.033))</f>
        <v/>
      </c>
      <c r="J199" s="33">
        <f>($C$7*$C$8/365)*F199</f>
        <v/>
      </c>
      <c r="K199" s="33">
        <f>$C$7*G199*$C$12*H199</f>
        <v/>
      </c>
      <c r="L199" s="33">
        <f>$C$7*I199*$C$15</f>
        <v/>
      </c>
      <c r="M199" s="33">
        <f>J199-K199-L199</f>
        <v/>
      </c>
    </row>
    <row r="200">
      <c r="E200" s="20" t="n">
        <v>192</v>
      </c>
      <c r="F200" s="32">
        <f>MAX(0.03,MIN(0.18,NORMINV(RAND(),$C$9,$C$10)))</f>
        <v/>
      </c>
      <c r="G200" s="32">
        <f>MAX(0.02,MIN(0.9,NORMINV(RAND(),$C$11,0.10)))</f>
        <v/>
      </c>
      <c r="H200" s="32">
        <f>MAX(0.02,MIN(0.98,NORMINV(RAND(),$C$13,0.15)))</f>
        <v/>
      </c>
      <c r="I200" s="32">
        <f>MAX(0,NORMINV(RAND(),$C$14,0.033))</f>
        <v/>
      </c>
      <c r="J200" s="33">
        <f>($C$7*$C$8/365)*F200</f>
        <v/>
      </c>
      <c r="K200" s="33">
        <f>$C$7*G200*$C$12*H200</f>
        <v/>
      </c>
      <c r="L200" s="33">
        <f>$C$7*I200*$C$15</f>
        <v/>
      </c>
      <c r="M200" s="33">
        <f>J200-K200-L200</f>
        <v/>
      </c>
    </row>
    <row r="201">
      <c r="E201" s="20" t="n">
        <v>193</v>
      </c>
      <c r="F201" s="32">
        <f>MAX(0.03,MIN(0.18,NORMINV(RAND(),$C$9,$C$10)))</f>
        <v/>
      </c>
      <c r="G201" s="32">
        <f>MAX(0.02,MIN(0.9,NORMINV(RAND(),$C$11,0.10)))</f>
        <v/>
      </c>
      <c r="H201" s="32">
        <f>MAX(0.02,MIN(0.98,NORMINV(RAND(),$C$13,0.15)))</f>
        <v/>
      </c>
      <c r="I201" s="32">
        <f>MAX(0,NORMINV(RAND(),$C$14,0.033))</f>
        <v/>
      </c>
      <c r="J201" s="33">
        <f>($C$7*$C$8/365)*F201</f>
        <v/>
      </c>
      <c r="K201" s="33">
        <f>$C$7*G201*$C$12*H201</f>
        <v/>
      </c>
      <c r="L201" s="33">
        <f>$C$7*I201*$C$15</f>
        <v/>
      </c>
      <c r="M201" s="33">
        <f>J201-K201-L201</f>
        <v/>
      </c>
    </row>
    <row r="202">
      <c r="E202" s="20" t="n">
        <v>194</v>
      </c>
      <c r="F202" s="32">
        <f>MAX(0.03,MIN(0.18,NORMINV(RAND(),$C$9,$C$10)))</f>
        <v/>
      </c>
      <c r="G202" s="32">
        <f>MAX(0.02,MIN(0.9,NORMINV(RAND(),$C$11,0.10)))</f>
        <v/>
      </c>
      <c r="H202" s="32">
        <f>MAX(0.02,MIN(0.98,NORMINV(RAND(),$C$13,0.15)))</f>
        <v/>
      </c>
      <c r="I202" s="32">
        <f>MAX(0,NORMINV(RAND(),$C$14,0.033))</f>
        <v/>
      </c>
      <c r="J202" s="33">
        <f>($C$7*$C$8/365)*F202</f>
        <v/>
      </c>
      <c r="K202" s="33">
        <f>$C$7*G202*$C$12*H202</f>
        <v/>
      </c>
      <c r="L202" s="33">
        <f>$C$7*I202*$C$15</f>
        <v/>
      </c>
      <c r="M202" s="33">
        <f>J202-K202-L202</f>
        <v/>
      </c>
    </row>
    <row r="203">
      <c r="E203" s="20" t="n">
        <v>195</v>
      </c>
      <c r="F203" s="32">
        <f>MAX(0.03,MIN(0.18,NORMINV(RAND(),$C$9,$C$10)))</f>
        <v/>
      </c>
      <c r="G203" s="32">
        <f>MAX(0.02,MIN(0.9,NORMINV(RAND(),$C$11,0.10)))</f>
        <v/>
      </c>
      <c r="H203" s="32">
        <f>MAX(0.02,MIN(0.98,NORMINV(RAND(),$C$13,0.15)))</f>
        <v/>
      </c>
      <c r="I203" s="32">
        <f>MAX(0,NORMINV(RAND(),$C$14,0.033))</f>
        <v/>
      </c>
      <c r="J203" s="33">
        <f>($C$7*$C$8/365)*F203</f>
        <v/>
      </c>
      <c r="K203" s="33">
        <f>$C$7*G203*$C$12*H203</f>
        <v/>
      </c>
      <c r="L203" s="33">
        <f>$C$7*I203*$C$15</f>
        <v/>
      </c>
      <c r="M203" s="33">
        <f>J203-K203-L203</f>
        <v/>
      </c>
    </row>
    <row r="204">
      <c r="E204" s="20" t="n">
        <v>196</v>
      </c>
      <c r="F204" s="32">
        <f>MAX(0.03,MIN(0.18,NORMINV(RAND(),$C$9,$C$10)))</f>
        <v/>
      </c>
      <c r="G204" s="32">
        <f>MAX(0.02,MIN(0.9,NORMINV(RAND(),$C$11,0.10)))</f>
        <v/>
      </c>
      <c r="H204" s="32">
        <f>MAX(0.02,MIN(0.98,NORMINV(RAND(),$C$13,0.15)))</f>
        <v/>
      </c>
      <c r="I204" s="32">
        <f>MAX(0,NORMINV(RAND(),$C$14,0.033))</f>
        <v/>
      </c>
      <c r="J204" s="33">
        <f>($C$7*$C$8/365)*F204</f>
        <v/>
      </c>
      <c r="K204" s="33">
        <f>$C$7*G204*$C$12*H204</f>
        <v/>
      </c>
      <c r="L204" s="33">
        <f>$C$7*I204*$C$15</f>
        <v/>
      </c>
      <c r="M204" s="33">
        <f>J204-K204-L204</f>
        <v/>
      </c>
    </row>
    <row r="205">
      <c r="E205" s="20" t="n">
        <v>197</v>
      </c>
      <c r="F205" s="32">
        <f>MAX(0.03,MIN(0.18,NORMINV(RAND(),$C$9,$C$10)))</f>
        <v/>
      </c>
      <c r="G205" s="32">
        <f>MAX(0.02,MIN(0.9,NORMINV(RAND(),$C$11,0.10)))</f>
        <v/>
      </c>
      <c r="H205" s="32">
        <f>MAX(0.02,MIN(0.98,NORMINV(RAND(),$C$13,0.15)))</f>
        <v/>
      </c>
      <c r="I205" s="32">
        <f>MAX(0,NORMINV(RAND(),$C$14,0.033))</f>
        <v/>
      </c>
      <c r="J205" s="33">
        <f>($C$7*$C$8/365)*F205</f>
        <v/>
      </c>
      <c r="K205" s="33">
        <f>$C$7*G205*$C$12*H205</f>
        <v/>
      </c>
      <c r="L205" s="33">
        <f>$C$7*I205*$C$15</f>
        <v/>
      </c>
      <c r="M205" s="33">
        <f>J205-K205-L205</f>
        <v/>
      </c>
    </row>
    <row r="206">
      <c r="E206" s="20" t="n">
        <v>198</v>
      </c>
      <c r="F206" s="32">
        <f>MAX(0.03,MIN(0.18,NORMINV(RAND(),$C$9,$C$10)))</f>
        <v/>
      </c>
      <c r="G206" s="32">
        <f>MAX(0.02,MIN(0.9,NORMINV(RAND(),$C$11,0.10)))</f>
        <v/>
      </c>
      <c r="H206" s="32">
        <f>MAX(0.02,MIN(0.98,NORMINV(RAND(),$C$13,0.15)))</f>
        <v/>
      </c>
      <c r="I206" s="32">
        <f>MAX(0,NORMINV(RAND(),$C$14,0.033))</f>
        <v/>
      </c>
      <c r="J206" s="33">
        <f>($C$7*$C$8/365)*F206</f>
        <v/>
      </c>
      <c r="K206" s="33">
        <f>$C$7*G206*$C$12*H206</f>
        <v/>
      </c>
      <c r="L206" s="33">
        <f>$C$7*I206*$C$15</f>
        <v/>
      </c>
      <c r="M206" s="33">
        <f>J206-K206-L206</f>
        <v/>
      </c>
    </row>
    <row r="207">
      <c r="E207" s="20" t="n">
        <v>199</v>
      </c>
      <c r="F207" s="32">
        <f>MAX(0.03,MIN(0.18,NORMINV(RAND(),$C$9,$C$10)))</f>
        <v/>
      </c>
      <c r="G207" s="32">
        <f>MAX(0.02,MIN(0.9,NORMINV(RAND(),$C$11,0.10)))</f>
        <v/>
      </c>
      <c r="H207" s="32">
        <f>MAX(0.02,MIN(0.98,NORMINV(RAND(),$C$13,0.15)))</f>
        <v/>
      </c>
      <c r="I207" s="32">
        <f>MAX(0,NORMINV(RAND(),$C$14,0.033))</f>
        <v/>
      </c>
      <c r="J207" s="33">
        <f>($C$7*$C$8/365)*F207</f>
        <v/>
      </c>
      <c r="K207" s="33">
        <f>$C$7*G207*$C$12*H207</f>
        <v/>
      </c>
      <c r="L207" s="33">
        <f>$C$7*I207*$C$15</f>
        <v/>
      </c>
      <c r="M207" s="33">
        <f>J207-K207-L207</f>
        <v/>
      </c>
    </row>
    <row r="208">
      <c r="E208" s="20" t="n">
        <v>200</v>
      </c>
      <c r="F208" s="32">
        <f>MAX(0.03,MIN(0.18,NORMINV(RAND(),$C$9,$C$10)))</f>
        <v/>
      </c>
      <c r="G208" s="32">
        <f>MAX(0.02,MIN(0.9,NORMINV(RAND(),$C$11,0.10)))</f>
        <v/>
      </c>
      <c r="H208" s="32">
        <f>MAX(0.02,MIN(0.98,NORMINV(RAND(),$C$13,0.15)))</f>
        <v/>
      </c>
      <c r="I208" s="32">
        <f>MAX(0,NORMINV(RAND(),$C$14,0.033))</f>
        <v/>
      </c>
      <c r="J208" s="33">
        <f>($C$7*$C$8/365)*F208</f>
        <v/>
      </c>
      <c r="K208" s="33">
        <f>$C$7*G208*$C$12*H208</f>
        <v/>
      </c>
      <c r="L208" s="33">
        <f>$C$7*I208*$C$15</f>
        <v/>
      </c>
      <c r="M208" s="33">
        <f>J208-K208-L208</f>
        <v/>
      </c>
    </row>
    <row r="209">
      <c r="E209" s="20" t="n">
        <v>201</v>
      </c>
      <c r="F209" s="32">
        <f>MAX(0.03,MIN(0.18,NORMINV(RAND(),$C$9,$C$10)))</f>
        <v/>
      </c>
      <c r="G209" s="32">
        <f>MAX(0.02,MIN(0.9,NORMINV(RAND(),$C$11,0.10)))</f>
        <v/>
      </c>
      <c r="H209" s="32">
        <f>MAX(0.02,MIN(0.98,NORMINV(RAND(),$C$13,0.15)))</f>
        <v/>
      </c>
      <c r="I209" s="32">
        <f>MAX(0,NORMINV(RAND(),$C$14,0.033))</f>
        <v/>
      </c>
      <c r="J209" s="33">
        <f>($C$7*$C$8/365)*F209</f>
        <v/>
      </c>
      <c r="K209" s="33">
        <f>$C$7*G209*$C$12*H209</f>
        <v/>
      </c>
      <c r="L209" s="33">
        <f>$C$7*I209*$C$15</f>
        <v/>
      </c>
      <c r="M209" s="33">
        <f>J209-K209-L209</f>
        <v/>
      </c>
    </row>
    <row r="210">
      <c r="E210" s="20" t="n">
        <v>202</v>
      </c>
      <c r="F210" s="32">
        <f>MAX(0.03,MIN(0.18,NORMINV(RAND(),$C$9,$C$10)))</f>
        <v/>
      </c>
      <c r="G210" s="32">
        <f>MAX(0.02,MIN(0.9,NORMINV(RAND(),$C$11,0.10)))</f>
        <v/>
      </c>
      <c r="H210" s="32">
        <f>MAX(0.02,MIN(0.98,NORMINV(RAND(),$C$13,0.15)))</f>
        <v/>
      </c>
      <c r="I210" s="32">
        <f>MAX(0,NORMINV(RAND(),$C$14,0.033))</f>
        <v/>
      </c>
      <c r="J210" s="33">
        <f>($C$7*$C$8/365)*F210</f>
        <v/>
      </c>
      <c r="K210" s="33">
        <f>$C$7*G210*$C$12*H210</f>
        <v/>
      </c>
      <c r="L210" s="33">
        <f>$C$7*I210*$C$15</f>
        <v/>
      </c>
      <c r="M210" s="33">
        <f>J210-K210-L210</f>
        <v/>
      </c>
    </row>
    <row r="211">
      <c r="E211" s="20" t="n">
        <v>203</v>
      </c>
      <c r="F211" s="32">
        <f>MAX(0.03,MIN(0.18,NORMINV(RAND(),$C$9,$C$10)))</f>
        <v/>
      </c>
      <c r="G211" s="32">
        <f>MAX(0.02,MIN(0.9,NORMINV(RAND(),$C$11,0.10)))</f>
        <v/>
      </c>
      <c r="H211" s="32">
        <f>MAX(0.02,MIN(0.98,NORMINV(RAND(),$C$13,0.15)))</f>
        <v/>
      </c>
      <c r="I211" s="32">
        <f>MAX(0,NORMINV(RAND(),$C$14,0.033))</f>
        <v/>
      </c>
      <c r="J211" s="33">
        <f>($C$7*$C$8/365)*F211</f>
        <v/>
      </c>
      <c r="K211" s="33">
        <f>$C$7*G211*$C$12*H211</f>
        <v/>
      </c>
      <c r="L211" s="33">
        <f>$C$7*I211*$C$15</f>
        <v/>
      </c>
      <c r="M211" s="33">
        <f>J211-K211-L211</f>
        <v/>
      </c>
    </row>
    <row r="212">
      <c r="E212" s="20" t="n">
        <v>204</v>
      </c>
      <c r="F212" s="32">
        <f>MAX(0.03,MIN(0.18,NORMINV(RAND(),$C$9,$C$10)))</f>
        <v/>
      </c>
      <c r="G212" s="32">
        <f>MAX(0.02,MIN(0.9,NORMINV(RAND(),$C$11,0.10)))</f>
        <v/>
      </c>
      <c r="H212" s="32">
        <f>MAX(0.02,MIN(0.98,NORMINV(RAND(),$C$13,0.15)))</f>
        <v/>
      </c>
      <c r="I212" s="32">
        <f>MAX(0,NORMINV(RAND(),$C$14,0.033))</f>
        <v/>
      </c>
      <c r="J212" s="33">
        <f>($C$7*$C$8/365)*F212</f>
        <v/>
      </c>
      <c r="K212" s="33">
        <f>$C$7*G212*$C$12*H212</f>
        <v/>
      </c>
      <c r="L212" s="33">
        <f>$C$7*I212*$C$15</f>
        <v/>
      </c>
      <c r="M212" s="33">
        <f>J212-K212-L212</f>
        <v/>
      </c>
    </row>
    <row r="213">
      <c r="E213" s="20" t="n">
        <v>205</v>
      </c>
      <c r="F213" s="32">
        <f>MAX(0.03,MIN(0.18,NORMINV(RAND(),$C$9,$C$10)))</f>
        <v/>
      </c>
      <c r="G213" s="32">
        <f>MAX(0.02,MIN(0.9,NORMINV(RAND(),$C$11,0.10)))</f>
        <v/>
      </c>
      <c r="H213" s="32">
        <f>MAX(0.02,MIN(0.98,NORMINV(RAND(),$C$13,0.15)))</f>
        <v/>
      </c>
      <c r="I213" s="32">
        <f>MAX(0,NORMINV(RAND(),$C$14,0.033))</f>
        <v/>
      </c>
      <c r="J213" s="33">
        <f>($C$7*$C$8/365)*F213</f>
        <v/>
      </c>
      <c r="K213" s="33">
        <f>$C$7*G213*$C$12*H213</f>
        <v/>
      </c>
      <c r="L213" s="33">
        <f>$C$7*I213*$C$15</f>
        <v/>
      </c>
      <c r="M213" s="33">
        <f>J213-K213-L213</f>
        <v/>
      </c>
    </row>
    <row r="214">
      <c r="E214" s="20" t="n">
        <v>206</v>
      </c>
      <c r="F214" s="32">
        <f>MAX(0.03,MIN(0.18,NORMINV(RAND(),$C$9,$C$10)))</f>
        <v/>
      </c>
      <c r="G214" s="32">
        <f>MAX(0.02,MIN(0.9,NORMINV(RAND(),$C$11,0.10)))</f>
        <v/>
      </c>
      <c r="H214" s="32">
        <f>MAX(0.02,MIN(0.98,NORMINV(RAND(),$C$13,0.15)))</f>
        <v/>
      </c>
      <c r="I214" s="32">
        <f>MAX(0,NORMINV(RAND(),$C$14,0.033))</f>
        <v/>
      </c>
      <c r="J214" s="33">
        <f>($C$7*$C$8/365)*F214</f>
        <v/>
      </c>
      <c r="K214" s="33">
        <f>$C$7*G214*$C$12*H214</f>
        <v/>
      </c>
      <c r="L214" s="33">
        <f>$C$7*I214*$C$15</f>
        <v/>
      </c>
      <c r="M214" s="33">
        <f>J214-K214-L214</f>
        <v/>
      </c>
    </row>
    <row r="215">
      <c r="E215" s="20" t="n">
        <v>207</v>
      </c>
      <c r="F215" s="32">
        <f>MAX(0.03,MIN(0.18,NORMINV(RAND(),$C$9,$C$10)))</f>
        <v/>
      </c>
      <c r="G215" s="32">
        <f>MAX(0.02,MIN(0.9,NORMINV(RAND(),$C$11,0.10)))</f>
        <v/>
      </c>
      <c r="H215" s="32">
        <f>MAX(0.02,MIN(0.98,NORMINV(RAND(),$C$13,0.15)))</f>
        <v/>
      </c>
      <c r="I215" s="32">
        <f>MAX(0,NORMINV(RAND(),$C$14,0.033))</f>
        <v/>
      </c>
      <c r="J215" s="33">
        <f>($C$7*$C$8/365)*F215</f>
        <v/>
      </c>
      <c r="K215" s="33">
        <f>$C$7*G215*$C$12*H215</f>
        <v/>
      </c>
      <c r="L215" s="33">
        <f>$C$7*I215*$C$15</f>
        <v/>
      </c>
      <c r="M215" s="33">
        <f>J215-K215-L215</f>
        <v/>
      </c>
    </row>
    <row r="216">
      <c r="E216" s="20" t="n">
        <v>208</v>
      </c>
      <c r="F216" s="32">
        <f>MAX(0.03,MIN(0.18,NORMINV(RAND(),$C$9,$C$10)))</f>
        <v/>
      </c>
      <c r="G216" s="32">
        <f>MAX(0.02,MIN(0.9,NORMINV(RAND(),$C$11,0.10)))</f>
        <v/>
      </c>
      <c r="H216" s="32">
        <f>MAX(0.02,MIN(0.98,NORMINV(RAND(),$C$13,0.15)))</f>
        <v/>
      </c>
      <c r="I216" s="32">
        <f>MAX(0,NORMINV(RAND(),$C$14,0.033))</f>
        <v/>
      </c>
      <c r="J216" s="33">
        <f>($C$7*$C$8/365)*F216</f>
        <v/>
      </c>
      <c r="K216" s="33">
        <f>$C$7*G216*$C$12*H216</f>
        <v/>
      </c>
      <c r="L216" s="33">
        <f>$C$7*I216*$C$15</f>
        <v/>
      </c>
      <c r="M216" s="33">
        <f>J216-K216-L216</f>
        <v/>
      </c>
    </row>
    <row r="217">
      <c r="E217" s="20" t="n">
        <v>209</v>
      </c>
      <c r="F217" s="32">
        <f>MAX(0.03,MIN(0.18,NORMINV(RAND(),$C$9,$C$10)))</f>
        <v/>
      </c>
      <c r="G217" s="32">
        <f>MAX(0.02,MIN(0.9,NORMINV(RAND(),$C$11,0.10)))</f>
        <v/>
      </c>
      <c r="H217" s="32">
        <f>MAX(0.02,MIN(0.98,NORMINV(RAND(),$C$13,0.15)))</f>
        <v/>
      </c>
      <c r="I217" s="32">
        <f>MAX(0,NORMINV(RAND(),$C$14,0.033))</f>
        <v/>
      </c>
      <c r="J217" s="33">
        <f>($C$7*$C$8/365)*F217</f>
        <v/>
      </c>
      <c r="K217" s="33">
        <f>$C$7*G217*$C$12*H217</f>
        <v/>
      </c>
      <c r="L217" s="33">
        <f>$C$7*I217*$C$15</f>
        <v/>
      </c>
      <c r="M217" s="33">
        <f>J217-K217-L217</f>
        <v/>
      </c>
    </row>
    <row r="218">
      <c r="E218" s="20" t="n">
        <v>210</v>
      </c>
      <c r="F218" s="32">
        <f>MAX(0.03,MIN(0.18,NORMINV(RAND(),$C$9,$C$10)))</f>
        <v/>
      </c>
      <c r="G218" s="32">
        <f>MAX(0.02,MIN(0.9,NORMINV(RAND(),$C$11,0.10)))</f>
        <v/>
      </c>
      <c r="H218" s="32">
        <f>MAX(0.02,MIN(0.98,NORMINV(RAND(),$C$13,0.15)))</f>
        <v/>
      </c>
      <c r="I218" s="32">
        <f>MAX(0,NORMINV(RAND(),$C$14,0.033))</f>
        <v/>
      </c>
      <c r="J218" s="33">
        <f>($C$7*$C$8/365)*F218</f>
        <v/>
      </c>
      <c r="K218" s="33">
        <f>$C$7*G218*$C$12*H218</f>
        <v/>
      </c>
      <c r="L218" s="33">
        <f>$C$7*I218*$C$15</f>
        <v/>
      </c>
      <c r="M218" s="33">
        <f>J218-K218-L218</f>
        <v/>
      </c>
    </row>
    <row r="219">
      <c r="E219" s="20" t="n">
        <v>211</v>
      </c>
      <c r="F219" s="32">
        <f>MAX(0.03,MIN(0.18,NORMINV(RAND(),$C$9,$C$10)))</f>
        <v/>
      </c>
      <c r="G219" s="32">
        <f>MAX(0.02,MIN(0.9,NORMINV(RAND(),$C$11,0.10)))</f>
        <v/>
      </c>
      <c r="H219" s="32">
        <f>MAX(0.02,MIN(0.98,NORMINV(RAND(),$C$13,0.15)))</f>
        <v/>
      </c>
      <c r="I219" s="32">
        <f>MAX(0,NORMINV(RAND(),$C$14,0.033))</f>
        <v/>
      </c>
      <c r="J219" s="33">
        <f>($C$7*$C$8/365)*F219</f>
        <v/>
      </c>
      <c r="K219" s="33">
        <f>$C$7*G219*$C$12*H219</f>
        <v/>
      </c>
      <c r="L219" s="33">
        <f>$C$7*I219*$C$15</f>
        <v/>
      </c>
      <c r="M219" s="33">
        <f>J219-K219-L219</f>
        <v/>
      </c>
    </row>
    <row r="220">
      <c r="E220" s="20" t="n">
        <v>212</v>
      </c>
      <c r="F220" s="32">
        <f>MAX(0.03,MIN(0.18,NORMINV(RAND(),$C$9,$C$10)))</f>
        <v/>
      </c>
      <c r="G220" s="32">
        <f>MAX(0.02,MIN(0.9,NORMINV(RAND(),$C$11,0.10)))</f>
        <v/>
      </c>
      <c r="H220" s="32">
        <f>MAX(0.02,MIN(0.98,NORMINV(RAND(),$C$13,0.15)))</f>
        <v/>
      </c>
      <c r="I220" s="32">
        <f>MAX(0,NORMINV(RAND(),$C$14,0.033))</f>
        <v/>
      </c>
      <c r="J220" s="33">
        <f>($C$7*$C$8/365)*F220</f>
        <v/>
      </c>
      <c r="K220" s="33">
        <f>$C$7*G220*$C$12*H220</f>
        <v/>
      </c>
      <c r="L220" s="33">
        <f>$C$7*I220*$C$15</f>
        <v/>
      </c>
      <c r="M220" s="33">
        <f>J220-K220-L220</f>
        <v/>
      </c>
    </row>
    <row r="221">
      <c r="E221" s="20" t="n">
        <v>213</v>
      </c>
      <c r="F221" s="32">
        <f>MAX(0.03,MIN(0.18,NORMINV(RAND(),$C$9,$C$10)))</f>
        <v/>
      </c>
      <c r="G221" s="32">
        <f>MAX(0.02,MIN(0.9,NORMINV(RAND(),$C$11,0.10)))</f>
        <v/>
      </c>
      <c r="H221" s="32">
        <f>MAX(0.02,MIN(0.98,NORMINV(RAND(),$C$13,0.15)))</f>
        <v/>
      </c>
      <c r="I221" s="32">
        <f>MAX(0,NORMINV(RAND(),$C$14,0.033))</f>
        <v/>
      </c>
      <c r="J221" s="33">
        <f>($C$7*$C$8/365)*F221</f>
        <v/>
      </c>
      <c r="K221" s="33">
        <f>$C$7*G221*$C$12*H221</f>
        <v/>
      </c>
      <c r="L221" s="33">
        <f>$C$7*I221*$C$15</f>
        <v/>
      </c>
      <c r="M221" s="33">
        <f>J221-K221-L221</f>
        <v/>
      </c>
    </row>
    <row r="222">
      <c r="E222" s="20" t="n">
        <v>214</v>
      </c>
      <c r="F222" s="32">
        <f>MAX(0.03,MIN(0.18,NORMINV(RAND(),$C$9,$C$10)))</f>
        <v/>
      </c>
      <c r="G222" s="32">
        <f>MAX(0.02,MIN(0.9,NORMINV(RAND(),$C$11,0.10)))</f>
        <v/>
      </c>
      <c r="H222" s="32">
        <f>MAX(0.02,MIN(0.98,NORMINV(RAND(),$C$13,0.15)))</f>
        <v/>
      </c>
      <c r="I222" s="32">
        <f>MAX(0,NORMINV(RAND(),$C$14,0.033))</f>
        <v/>
      </c>
      <c r="J222" s="33">
        <f>($C$7*$C$8/365)*F222</f>
        <v/>
      </c>
      <c r="K222" s="33">
        <f>$C$7*G222*$C$12*H222</f>
        <v/>
      </c>
      <c r="L222" s="33">
        <f>$C$7*I222*$C$15</f>
        <v/>
      </c>
      <c r="M222" s="33">
        <f>J222-K222-L222</f>
        <v/>
      </c>
    </row>
    <row r="223">
      <c r="E223" s="20" t="n">
        <v>215</v>
      </c>
      <c r="F223" s="32">
        <f>MAX(0.03,MIN(0.18,NORMINV(RAND(),$C$9,$C$10)))</f>
        <v/>
      </c>
      <c r="G223" s="32">
        <f>MAX(0.02,MIN(0.9,NORMINV(RAND(),$C$11,0.10)))</f>
        <v/>
      </c>
      <c r="H223" s="32">
        <f>MAX(0.02,MIN(0.98,NORMINV(RAND(),$C$13,0.15)))</f>
        <v/>
      </c>
      <c r="I223" s="32">
        <f>MAX(0,NORMINV(RAND(),$C$14,0.033))</f>
        <v/>
      </c>
      <c r="J223" s="33">
        <f>($C$7*$C$8/365)*F223</f>
        <v/>
      </c>
      <c r="K223" s="33">
        <f>$C$7*G223*$C$12*H223</f>
        <v/>
      </c>
      <c r="L223" s="33">
        <f>$C$7*I223*$C$15</f>
        <v/>
      </c>
      <c r="M223" s="33">
        <f>J223-K223-L223</f>
        <v/>
      </c>
    </row>
    <row r="224">
      <c r="E224" s="20" t="n">
        <v>216</v>
      </c>
      <c r="F224" s="32">
        <f>MAX(0.03,MIN(0.18,NORMINV(RAND(),$C$9,$C$10)))</f>
        <v/>
      </c>
      <c r="G224" s="32">
        <f>MAX(0.02,MIN(0.9,NORMINV(RAND(),$C$11,0.10)))</f>
        <v/>
      </c>
      <c r="H224" s="32">
        <f>MAX(0.02,MIN(0.98,NORMINV(RAND(),$C$13,0.15)))</f>
        <v/>
      </c>
      <c r="I224" s="32">
        <f>MAX(0,NORMINV(RAND(),$C$14,0.033))</f>
        <v/>
      </c>
      <c r="J224" s="33">
        <f>($C$7*$C$8/365)*F224</f>
        <v/>
      </c>
      <c r="K224" s="33">
        <f>$C$7*G224*$C$12*H224</f>
        <v/>
      </c>
      <c r="L224" s="33">
        <f>$C$7*I224*$C$15</f>
        <v/>
      </c>
      <c r="M224" s="33">
        <f>J224-K224-L224</f>
        <v/>
      </c>
    </row>
    <row r="225">
      <c r="E225" s="20" t="n">
        <v>217</v>
      </c>
      <c r="F225" s="32">
        <f>MAX(0.03,MIN(0.18,NORMINV(RAND(),$C$9,$C$10)))</f>
        <v/>
      </c>
      <c r="G225" s="32">
        <f>MAX(0.02,MIN(0.9,NORMINV(RAND(),$C$11,0.10)))</f>
        <v/>
      </c>
      <c r="H225" s="32">
        <f>MAX(0.02,MIN(0.98,NORMINV(RAND(),$C$13,0.15)))</f>
        <v/>
      </c>
      <c r="I225" s="32">
        <f>MAX(0,NORMINV(RAND(),$C$14,0.033))</f>
        <v/>
      </c>
      <c r="J225" s="33">
        <f>($C$7*$C$8/365)*F225</f>
        <v/>
      </c>
      <c r="K225" s="33">
        <f>$C$7*G225*$C$12*H225</f>
        <v/>
      </c>
      <c r="L225" s="33">
        <f>$C$7*I225*$C$15</f>
        <v/>
      </c>
      <c r="M225" s="33">
        <f>J225-K225-L225</f>
        <v/>
      </c>
    </row>
    <row r="226">
      <c r="E226" s="20" t="n">
        <v>218</v>
      </c>
      <c r="F226" s="32">
        <f>MAX(0.03,MIN(0.18,NORMINV(RAND(),$C$9,$C$10)))</f>
        <v/>
      </c>
      <c r="G226" s="32">
        <f>MAX(0.02,MIN(0.9,NORMINV(RAND(),$C$11,0.10)))</f>
        <v/>
      </c>
      <c r="H226" s="32">
        <f>MAX(0.02,MIN(0.98,NORMINV(RAND(),$C$13,0.15)))</f>
        <v/>
      </c>
      <c r="I226" s="32">
        <f>MAX(0,NORMINV(RAND(),$C$14,0.033))</f>
        <v/>
      </c>
      <c r="J226" s="33">
        <f>($C$7*$C$8/365)*F226</f>
        <v/>
      </c>
      <c r="K226" s="33">
        <f>$C$7*G226*$C$12*H226</f>
        <v/>
      </c>
      <c r="L226" s="33">
        <f>$C$7*I226*$C$15</f>
        <v/>
      </c>
      <c r="M226" s="33">
        <f>J226-K226-L226</f>
        <v/>
      </c>
    </row>
    <row r="227">
      <c r="E227" s="20" t="n">
        <v>219</v>
      </c>
      <c r="F227" s="32">
        <f>MAX(0.03,MIN(0.18,NORMINV(RAND(),$C$9,$C$10)))</f>
        <v/>
      </c>
      <c r="G227" s="32">
        <f>MAX(0.02,MIN(0.9,NORMINV(RAND(),$C$11,0.10)))</f>
        <v/>
      </c>
      <c r="H227" s="32">
        <f>MAX(0.02,MIN(0.98,NORMINV(RAND(),$C$13,0.15)))</f>
        <v/>
      </c>
      <c r="I227" s="32">
        <f>MAX(0,NORMINV(RAND(),$C$14,0.033))</f>
        <v/>
      </c>
      <c r="J227" s="33">
        <f>($C$7*$C$8/365)*F227</f>
        <v/>
      </c>
      <c r="K227" s="33">
        <f>$C$7*G227*$C$12*H227</f>
        <v/>
      </c>
      <c r="L227" s="33">
        <f>$C$7*I227*$C$15</f>
        <v/>
      </c>
      <c r="M227" s="33">
        <f>J227-K227-L227</f>
        <v/>
      </c>
    </row>
    <row r="228">
      <c r="E228" s="20" t="n">
        <v>220</v>
      </c>
      <c r="F228" s="32">
        <f>MAX(0.03,MIN(0.18,NORMINV(RAND(),$C$9,$C$10)))</f>
        <v/>
      </c>
      <c r="G228" s="32">
        <f>MAX(0.02,MIN(0.9,NORMINV(RAND(),$C$11,0.10)))</f>
        <v/>
      </c>
      <c r="H228" s="32">
        <f>MAX(0.02,MIN(0.98,NORMINV(RAND(),$C$13,0.15)))</f>
        <v/>
      </c>
      <c r="I228" s="32">
        <f>MAX(0,NORMINV(RAND(),$C$14,0.033))</f>
        <v/>
      </c>
      <c r="J228" s="33">
        <f>($C$7*$C$8/365)*F228</f>
        <v/>
      </c>
      <c r="K228" s="33">
        <f>$C$7*G228*$C$12*H228</f>
        <v/>
      </c>
      <c r="L228" s="33">
        <f>$C$7*I228*$C$15</f>
        <v/>
      </c>
      <c r="M228" s="33">
        <f>J228-K228-L228</f>
        <v/>
      </c>
    </row>
    <row r="229">
      <c r="E229" s="20" t="n">
        <v>221</v>
      </c>
      <c r="F229" s="32">
        <f>MAX(0.03,MIN(0.18,NORMINV(RAND(),$C$9,$C$10)))</f>
        <v/>
      </c>
      <c r="G229" s="32">
        <f>MAX(0.02,MIN(0.9,NORMINV(RAND(),$C$11,0.10)))</f>
        <v/>
      </c>
      <c r="H229" s="32">
        <f>MAX(0.02,MIN(0.98,NORMINV(RAND(),$C$13,0.15)))</f>
        <v/>
      </c>
      <c r="I229" s="32">
        <f>MAX(0,NORMINV(RAND(),$C$14,0.033))</f>
        <v/>
      </c>
      <c r="J229" s="33">
        <f>($C$7*$C$8/365)*F229</f>
        <v/>
      </c>
      <c r="K229" s="33">
        <f>$C$7*G229*$C$12*H229</f>
        <v/>
      </c>
      <c r="L229" s="33">
        <f>$C$7*I229*$C$15</f>
        <v/>
      </c>
      <c r="M229" s="33">
        <f>J229-K229-L229</f>
        <v/>
      </c>
    </row>
    <row r="230">
      <c r="E230" s="20" t="n">
        <v>222</v>
      </c>
      <c r="F230" s="32">
        <f>MAX(0.03,MIN(0.18,NORMINV(RAND(),$C$9,$C$10)))</f>
        <v/>
      </c>
      <c r="G230" s="32">
        <f>MAX(0.02,MIN(0.9,NORMINV(RAND(),$C$11,0.10)))</f>
        <v/>
      </c>
      <c r="H230" s="32">
        <f>MAX(0.02,MIN(0.98,NORMINV(RAND(),$C$13,0.15)))</f>
        <v/>
      </c>
      <c r="I230" s="32">
        <f>MAX(0,NORMINV(RAND(),$C$14,0.033))</f>
        <v/>
      </c>
      <c r="J230" s="33">
        <f>($C$7*$C$8/365)*F230</f>
        <v/>
      </c>
      <c r="K230" s="33">
        <f>$C$7*G230*$C$12*H230</f>
        <v/>
      </c>
      <c r="L230" s="33">
        <f>$C$7*I230*$C$15</f>
        <v/>
      </c>
      <c r="M230" s="33">
        <f>J230-K230-L230</f>
        <v/>
      </c>
    </row>
    <row r="231">
      <c r="E231" s="20" t="n">
        <v>223</v>
      </c>
      <c r="F231" s="32">
        <f>MAX(0.03,MIN(0.18,NORMINV(RAND(),$C$9,$C$10)))</f>
        <v/>
      </c>
      <c r="G231" s="32">
        <f>MAX(0.02,MIN(0.9,NORMINV(RAND(),$C$11,0.10)))</f>
        <v/>
      </c>
      <c r="H231" s="32">
        <f>MAX(0.02,MIN(0.98,NORMINV(RAND(),$C$13,0.15)))</f>
        <v/>
      </c>
      <c r="I231" s="32">
        <f>MAX(0,NORMINV(RAND(),$C$14,0.033))</f>
        <v/>
      </c>
      <c r="J231" s="33">
        <f>($C$7*$C$8/365)*F231</f>
        <v/>
      </c>
      <c r="K231" s="33">
        <f>$C$7*G231*$C$12*H231</f>
        <v/>
      </c>
      <c r="L231" s="33">
        <f>$C$7*I231*$C$15</f>
        <v/>
      </c>
      <c r="M231" s="33">
        <f>J231-K231-L231</f>
        <v/>
      </c>
    </row>
    <row r="232">
      <c r="E232" s="20" t="n">
        <v>224</v>
      </c>
      <c r="F232" s="32">
        <f>MAX(0.03,MIN(0.18,NORMINV(RAND(),$C$9,$C$10)))</f>
        <v/>
      </c>
      <c r="G232" s="32">
        <f>MAX(0.02,MIN(0.9,NORMINV(RAND(),$C$11,0.10)))</f>
        <v/>
      </c>
      <c r="H232" s="32">
        <f>MAX(0.02,MIN(0.98,NORMINV(RAND(),$C$13,0.15)))</f>
        <v/>
      </c>
      <c r="I232" s="32">
        <f>MAX(0,NORMINV(RAND(),$C$14,0.033))</f>
        <v/>
      </c>
      <c r="J232" s="33">
        <f>($C$7*$C$8/365)*F232</f>
        <v/>
      </c>
      <c r="K232" s="33">
        <f>$C$7*G232*$C$12*H232</f>
        <v/>
      </c>
      <c r="L232" s="33">
        <f>$C$7*I232*$C$15</f>
        <v/>
      </c>
      <c r="M232" s="33">
        <f>J232-K232-L232</f>
        <v/>
      </c>
    </row>
    <row r="233">
      <c r="E233" s="20" t="n">
        <v>225</v>
      </c>
      <c r="F233" s="32">
        <f>MAX(0.03,MIN(0.18,NORMINV(RAND(),$C$9,$C$10)))</f>
        <v/>
      </c>
      <c r="G233" s="32">
        <f>MAX(0.02,MIN(0.9,NORMINV(RAND(),$C$11,0.10)))</f>
        <v/>
      </c>
      <c r="H233" s="32">
        <f>MAX(0.02,MIN(0.98,NORMINV(RAND(),$C$13,0.15)))</f>
        <v/>
      </c>
      <c r="I233" s="32">
        <f>MAX(0,NORMINV(RAND(),$C$14,0.033))</f>
        <v/>
      </c>
      <c r="J233" s="33">
        <f>($C$7*$C$8/365)*F233</f>
        <v/>
      </c>
      <c r="K233" s="33">
        <f>$C$7*G233*$C$12*H233</f>
        <v/>
      </c>
      <c r="L233" s="33">
        <f>$C$7*I233*$C$15</f>
        <v/>
      </c>
      <c r="M233" s="33">
        <f>J233-K233-L233</f>
        <v/>
      </c>
    </row>
    <row r="234">
      <c r="E234" s="20" t="n">
        <v>226</v>
      </c>
      <c r="F234" s="32">
        <f>MAX(0.03,MIN(0.18,NORMINV(RAND(),$C$9,$C$10)))</f>
        <v/>
      </c>
      <c r="G234" s="32">
        <f>MAX(0.02,MIN(0.9,NORMINV(RAND(),$C$11,0.10)))</f>
        <v/>
      </c>
      <c r="H234" s="32">
        <f>MAX(0.02,MIN(0.98,NORMINV(RAND(),$C$13,0.15)))</f>
        <v/>
      </c>
      <c r="I234" s="32">
        <f>MAX(0,NORMINV(RAND(),$C$14,0.033))</f>
        <v/>
      </c>
      <c r="J234" s="33">
        <f>($C$7*$C$8/365)*F234</f>
        <v/>
      </c>
      <c r="K234" s="33">
        <f>$C$7*G234*$C$12*H234</f>
        <v/>
      </c>
      <c r="L234" s="33">
        <f>$C$7*I234*$C$15</f>
        <v/>
      </c>
      <c r="M234" s="33">
        <f>J234-K234-L234</f>
        <v/>
      </c>
    </row>
    <row r="235">
      <c r="E235" s="20" t="n">
        <v>227</v>
      </c>
      <c r="F235" s="32">
        <f>MAX(0.03,MIN(0.18,NORMINV(RAND(),$C$9,$C$10)))</f>
        <v/>
      </c>
      <c r="G235" s="32">
        <f>MAX(0.02,MIN(0.9,NORMINV(RAND(),$C$11,0.10)))</f>
        <v/>
      </c>
      <c r="H235" s="32">
        <f>MAX(0.02,MIN(0.98,NORMINV(RAND(),$C$13,0.15)))</f>
        <v/>
      </c>
      <c r="I235" s="32">
        <f>MAX(0,NORMINV(RAND(),$C$14,0.033))</f>
        <v/>
      </c>
      <c r="J235" s="33">
        <f>($C$7*$C$8/365)*F235</f>
        <v/>
      </c>
      <c r="K235" s="33">
        <f>$C$7*G235*$C$12*H235</f>
        <v/>
      </c>
      <c r="L235" s="33">
        <f>$C$7*I235*$C$15</f>
        <v/>
      </c>
      <c r="M235" s="33">
        <f>J235-K235-L235</f>
        <v/>
      </c>
    </row>
    <row r="236">
      <c r="E236" s="20" t="n">
        <v>228</v>
      </c>
      <c r="F236" s="32">
        <f>MAX(0.03,MIN(0.18,NORMINV(RAND(),$C$9,$C$10)))</f>
        <v/>
      </c>
      <c r="G236" s="32">
        <f>MAX(0.02,MIN(0.9,NORMINV(RAND(),$C$11,0.10)))</f>
        <v/>
      </c>
      <c r="H236" s="32">
        <f>MAX(0.02,MIN(0.98,NORMINV(RAND(),$C$13,0.15)))</f>
        <v/>
      </c>
      <c r="I236" s="32">
        <f>MAX(0,NORMINV(RAND(),$C$14,0.033))</f>
        <v/>
      </c>
      <c r="J236" s="33">
        <f>($C$7*$C$8/365)*F236</f>
        <v/>
      </c>
      <c r="K236" s="33">
        <f>$C$7*G236*$C$12*H236</f>
        <v/>
      </c>
      <c r="L236" s="33">
        <f>$C$7*I236*$C$15</f>
        <v/>
      </c>
      <c r="M236" s="33">
        <f>J236-K236-L236</f>
        <v/>
      </c>
    </row>
    <row r="237">
      <c r="E237" s="20" t="n">
        <v>229</v>
      </c>
      <c r="F237" s="32">
        <f>MAX(0.03,MIN(0.18,NORMINV(RAND(),$C$9,$C$10)))</f>
        <v/>
      </c>
      <c r="G237" s="32">
        <f>MAX(0.02,MIN(0.9,NORMINV(RAND(),$C$11,0.10)))</f>
        <v/>
      </c>
      <c r="H237" s="32">
        <f>MAX(0.02,MIN(0.98,NORMINV(RAND(),$C$13,0.15)))</f>
        <v/>
      </c>
      <c r="I237" s="32">
        <f>MAX(0,NORMINV(RAND(),$C$14,0.033))</f>
        <v/>
      </c>
      <c r="J237" s="33">
        <f>($C$7*$C$8/365)*F237</f>
        <v/>
      </c>
      <c r="K237" s="33">
        <f>$C$7*G237*$C$12*H237</f>
        <v/>
      </c>
      <c r="L237" s="33">
        <f>$C$7*I237*$C$15</f>
        <v/>
      </c>
      <c r="M237" s="33">
        <f>J237-K237-L237</f>
        <v/>
      </c>
    </row>
    <row r="238">
      <c r="E238" s="20" t="n">
        <v>230</v>
      </c>
      <c r="F238" s="32">
        <f>MAX(0.03,MIN(0.18,NORMINV(RAND(),$C$9,$C$10)))</f>
        <v/>
      </c>
      <c r="G238" s="32">
        <f>MAX(0.02,MIN(0.9,NORMINV(RAND(),$C$11,0.10)))</f>
        <v/>
      </c>
      <c r="H238" s="32">
        <f>MAX(0.02,MIN(0.98,NORMINV(RAND(),$C$13,0.15)))</f>
        <v/>
      </c>
      <c r="I238" s="32">
        <f>MAX(0,NORMINV(RAND(),$C$14,0.033))</f>
        <v/>
      </c>
      <c r="J238" s="33">
        <f>($C$7*$C$8/365)*F238</f>
        <v/>
      </c>
      <c r="K238" s="33">
        <f>$C$7*G238*$C$12*H238</f>
        <v/>
      </c>
      <c r="L238" s="33">
        <f>$C$7*I238*$C$15</f>
        <v/>
      </c>
      <c r="M238" s="33">
        <f>J238-K238-L238</f>
        <v/>
      </c>
    </row>
    <row r="239">
      <c r="E239" s="20" t="n">
        <v>231</v>
      </c>
      <c r="F239" s="32">
        <f>MAX(0.03,MIN(0.18,NORMINV(RAND(),$C$9,$C$10)))</f>
        <v/>
      </c>
      <c r="G239" s="32">
        <f>MAX(0.02,MIN(0.9,NORMINV(RAND(),$C$11,0.10)))</f>
        <v/>
      </c>
      <c r="H239" s="32">
        <f>MAX(0.02,MIN(0.98,NORMINV(RAND(),$C$13,0.15)))</f>
        <v/>
      </c>
      <c r="I239" s="32">
        <f>MAX(0,NORMINV(RAND(),$C$14,0.033))</f>
        <v/>
      </c>
      <c r="J239" s="33">
        <f>($C$7*$C$8/365)*F239</f>
        <v/>
      </c>
      <c r="K239" s="33">
        <f>$C$7*G239*$C$12*H239</f>
        <v/>
      </c>
      <c r="L239" s="33">
        <f>$C$7*I239*$C$15</f>
        <v/>
      </c>
      <c r="M239" s="33">
        <f>J239-K239-L239</f>
        <v/>
      </c>
    </row>
    <row r="240">
      <c r="E240" s="20" t="n">
        <v>232</v>
      </c>
      <c r="F240" s="32">
        <f>MAX(0.03,MIN(0.18,NORMINV(RAND(),$C$9,$C$10)))</f>
        <v/>
      </c>
      <c r="G240" s="32">
        <f>MAX(0.02,MIN(0.9,NORMINV(RAND(),$C$11,0.10)))</f>
        <v/>
      </c>
      <c r="H240" s="32">
        <f>MAX(0.02,MIN(0.98,NORMINV(RAND(),$C$13,0.15)))</f>
        <v/>
      </c>
      <c r="I240" s="32">
        <f>MAX(0,NORMINV(RAND(),$C$14,0.033))</f>
        <v/>
      </c>
      <c r="J240" s="33">
        <f>($C$7*$C$8/365)*F240</f>
        <v/>
      </c>
      <c r="K240" s="33">
        <f>$C$7*G240*$C$12*H240</f>
        <v/>
      </c>
      <c r="L240" s="33">
        <f>$C$7*I240*$C$15</f>
        <v/>
      </c>
      <c r="M240" s="33">
        <f>J240-K240-L240</f>
        <v/>
      </c>
    </row>
    <row r="241">
      <c r="E241" s="20" t="n">
        <v>233</v>
      </c>
      <c r="F241" s="32">
        <f>MAX(0.03,MIN(0.18,NORMINV(RAND(),$C$9,$C$10)))</f>
        <v/>
      </c>
      <c r="G241" s="32">
        <f>MAX(0.02,MIN(0.9,NORMINV(RAND(),$C$11,0.10)))</f>
        <v/>
      </c>
      <c r="H241" s="32">
        <f>MAX(0.02,MIN(0.98,NORMINV(RAND(),$C$13,0.15)))</f>
        <v/>
      </c>
      <c r="I241" s="32">
        <f>MAX(0,NORMINV(RAND(),$C$14,0.033))</f>
        <v/>
      </c>
      <c r="J241" s="33">
        <f>($C$7*$C$8/365)*F241</f>
        <v/>
      </c>
      <c r="K241" s="33">
        <f>$C$7*G241*$C$12*H241</f>
        <v/>
      </c>
      <c r="L241" s="33">
        <f>$C$7*I241*$C$15</f>
        <v/>
      </c>
      <c r="M241" s="33">
        <f>J241-K241-L241</f>
        <v/>
      </c>
    </row>
    <row r="242">
      <c r="E242" s="20" t="n">
        <v>234</v>
      </c>
      <c r="F242" s="32">
        <f>MAX(0.03,MIN(0.18,NORMINV(RAND(),$C$9,$C$10)))</f>
        <v/>
      </c>
      <c r="G242" s="32">
        <f>MAX(0.02,MIN(0.9,NORMINV(RAND(),$C$11,0.10)))</f>
        <v/>
      </c>
      <c r="H242" s="32">
        <f>MAX(0.02,MIN(0.98,NORMINV(RAND(),$C$13,0.15)))</f>
        <v/>
      </c>
      <c r="I242" s="32">
        <f>MAX(0,NORMINV(RAND(),$C$14,0.033))</f>
        <v/>
      </c>
      <c r="J242" s="33">
        <f>($C$7*$C$8/365)*F242</f>
        <v/>
      </c>
      <c r="K242" s="33">
        <f>$C$7*G242*$C$12*H242</f>
        <v/>
      </c>
      <c r="L242" s="33">
        <f>$C$7*I242*$C$15</f>
        <v/>
      </c>
      <c r="M242" s="33">
        <f>J242-K242-L242</f>
        <v/>
      </c>
    </row>
    <row r="243">
      <c r="E243" s="20" t="n">
        <v>235</v>
      </c>
      <c r="F243" s="32">
        <f>MAX(0.03,MIN(0.18,NORMINV(RAND(),$C$9,$C$10)))</f>
        <v/>
      </c>
      <c r="G243" s="32">
        <f>MAX(0.02,MIN(0.9,NORMINV(RAND(),$C$11,0.10)))</f>
        <v/>
      </c>
      <c r="H243" s="32">
        <f>MAX(0.02,MIN(0.98,NORMINV(RAND(),$C$13,0.15)))</f>
        <v/>
      </c>
      <c r="I243" s="32">
        <f>MAX(0,NORMINV(RAND(),$C$14,0.033))</f>
        <v/>
      </c>
      <c r="J243" s="33">
        <f>($C$7*$C$8/365)*F243</f>
        <v/>
      </c>
      <c r="K243" s="33">
        <f>$C$7*G243*$C$12*H243</f>
        <v/>
      </c>
      <c r="L243" s="33">
        <f>$C$7*I243*$C$15</f>
        <v/>
      </c>
      <c r="M243" s="33">
        <f>J243-K243-L243</f>
        <v/>
      </c>
    </row>
    <row r="244">
      <c r="E244" s="20" t="n">
        <v>236</v>
      </c>
      <c r="F244" s="32">
        <f>MAX(0.03,MIN(0.18,NORMINV(RAND(),$C$9,$C$10)))</f>
        <v/>
      </c>
      <c r="G244" s="32">
        <f>MAX(0.02,MIN(0.9,NORMINV(RAND(),$C$11,0.10)))</f>
        <v/>
      </c>
      <c r="H244" s="32">
        <f>MAX(0.02,MIN(0.98,NORMINV(RAND(),$C$13,0.15)))</f>
        <v/>
      </c>
      <c r="I244" s="32">
        <f>MAX(0,NORMINV(RAND(),$C$14,0.033))</f>
        <v/>
      </c>
      <c r="J244" s="33">
        <f>($C$7*$C$8/365)*F244</f>
        <v/>
      </c>
      <c r="K244" s="33">
        <f>$C$7*G244*$C$12*H244</f>
        <v/>
      </c>
      <c r="L244" s="33">
        <f>$C$7*I244*$C$15</f>
        <v/>
      </c>
      <c r="M244" s="33">
        <f>J244-K244-L244</f>
        <v/>
      </c>
    </row>
    <row r="245">
      <c r="E245" s="20" t="n">
        <v>237</v>
      </c>
      <c r="F245" s="32">
        <f>MAX(0.03,MIN(0.18,NORMINV(RAND(),$C$9,$C$10)))</f>
        <v/>
      </c>
      <c r="G245" s="32">
        <f>MAX(0.02,MIN(0.9,NORMINV(RAND(),$C$11,0.10)))</f>
        <v/>
      </c>
      <c r="H245" s="32">
        <f>MAX(0.02,MIN(0.98,NORMINV(RAND(),$C$13,0.15)))</f>
        <v/>
      </c>
      <c r="I245" s="32">
        <f>MAX(0,NORMINV(RAND(),$C$14,0.033))</f>
        <v/>
      </c>
      <c r="J245" s="33">
        <f>($C$7*$C$8/365)*F245</f>
        <v/>
      </c>
      <c r="K245" s="33">
        <f>$C$7*G245*$C$12*H245</f>
        <v/>
      </c>
      <c r="L245" s="33">
        <f>$C$7*I245*$C$15</f>
        <v/>
      </c>
      <c r="M245" s="33">
        <f>J245-K245-L245</f>
        <v/>
      </c>
    </row>
    <row r="246">
      <c r="E246" s="20" t="n">
        <v>238</v>
      </c>
      <c r="F246" s="32">
        <f>MAX(0.03,MIN(0.18,NORMINV(RAND(),$C$9,$C$10)))</f>
        <v/>
      </c>
      <c r="G246" s="32">
        <f>MAX(0.02,MIN(0.9,NORMINV(RAND(),$C$11,0.10)))</f>
        <v/>
      </c>
      <c r="H246" s="32">
        <f>MAX(0.02,MIN(0.98,NORMINV(RAND(),$C$13,0.15)))</f>
        <v/>
      </c>
      <c r="I246" s="32">
        <f>MAX(0,NORMINV(RAND(),$C$14,0.033))</f>
        <v/>
      </c>
      <c r="J246" s="33">
        <f>($C$7*$C$8/365)*F246</f>
        <v/>
      </c>
      <c r="K246" s="33">
        <f>$C$7*G246*$C$12*H246</f>
        <v/>
      </c>
      <c r="L246" s="33">
        <f>$C$7*I246*$C$15</f>
        <v/>
      </c>
      <c r="M246" s="33">
        <f>J246-K246-L246</f>
        <v/>
      </c>
    </row>
    <row r="247">
      <c r="E247" s="20" t="n">
        <v>239</v>
      </c>
      <c r="F247" s="32">
        <f>MAX(0.03,MIN(0.18,NORMINV(RAND(),$C$9,$C$10)))</f>
        <v/>
      </c>
      <c r="G247" s="32">
        <f>MAX(0.02,MIN(0.9,NORMINV(RAND(),$C$11,0.10)))</f>
        <v/>
      </c>
      <c r="H247" s="32">
        <f>MAX(0.02,MIN(0.98,NORMINV(RAND(),$C$13,0.15)))</f>
        <v/>
      </c>
      <c r="I247" s="32">
        <f>MAX(0,NORMINV(RAND(),$C$14,0.033))</f>
        <v/>
      </c>
      <c r="J247" s="33">
        <f>($C$7*$C$8/365)*F247</f>
        <v/>
      </c>
      <c r="K247" s="33">
        <f>$C$7*G247*$C$12*H247</f>
        <v/>
      </c>
      <c r="L247" s="33">
        <f>$C$7*I247*$C$15</f>
        <v/>
      </c>
      <c r="M247" s="33">
        <f>J247-K247-L247</f>
        <v/>
      </c>
    </row>
    <row r="248">
      <c r="E248" s="20" t="n">
        <v>240</v>
      </c>
      <c r="F248" s="32">
        <f>MAX(0.03,MIN(0.18,NORMINV(RAND(),$C$9,$C$10)))</f>
        <v/>
      </c>
      <c r="G248" s="32">
        <f>MAX(0.02,MIN(0.9,NORMINV(RAND(),$C$11,0.10)))</f>
        <v/>
      </c>
      <c r="H248" s="32">
        <f>MAX(0.02,MIN(0.98,NORMINV(RAND(),$C$13,0.15)))</f>
        <v/>
      </c>
      <c r="I248" s="32">
        <f>MAX(0,NORMINV(RAND(),$C$14,0.033))</f>
        <v/>
      </c>
      <c r="J248" s="33">
        <f>($C$7*$C$8/365)*F248</f>
        <v/>
      </c>
      <c r="K248" s="33">
        <f>$C$7*G248*$C$12*H248</f>
        <v/>
      </c>
      <c r="L248" s="33">
        <f>$C$7*I248*$C$15</f>
        <v/>
      </c>
      <c r="M248" s="33">
        <f>J248-K248-L248</f>
        <v/>
      </c>
    </row>
    <row r="249">
      <c r="E249" s="20" t="n">
        <v>241</v>
      </c>
      <c r="F249" s="32">
        <f>MAX(0.03,MIN(0.18,NORMINV(RAND(),$C$9,$C$10)))</f>
        <v/>
      </c>
      <c r="G249" s="32">
        <f>MAX(0.02,MIN(0.9,NORMINV(RAND(),$C$11,0.10)))</f>
        <v/>
      </c>
      <c r="H249" s="32">
        <f>MAX(0.02,MIN(0.98,NORMINV(RAND(),$C$13,0.15)))</f>
        <v/>
      </c>
      <c r="I249" s="32">
        <f>MAX(0,NORMINV(RAND(),$C$14,0.033))</f>
        <v/>
      </c>
      <c r="J249" s="33">
        <f>($C$7*$C$8/365)*F249</f>
        <v/>
      </c>
      <c r="K249" s="33">
        <f>$C$7*G249*$C$12*H249</f>
        <v/>
      </c>
      <c r="L249" s="33">
        <f>$C$7*I249*$C$15</f>
        <v/>
      </c>
      <c r="M249" s="33">
        <f>J249-K249-L249</f>
        <v/>
      </c>
    </row>
    <row r="250">
      <c r="E250" s="20" t="n">
        <v>242</v>
      </c>
      <c r="F250" s="32">
        <f>MAX(0.03,MIN(0.18,NORMINV(RAND(),$C$9,$C$10)))</f>
        <v/>
      </c>
      <c r="G250" s="32">
        <f>MAX(0.02,MIN(0.9,NORMINV(RAND(),$C$11,0.10)))</f>
        <v/>
      </c>
      <c r="H250" s="32">
        <f>MAX(0.02,MIN(0.98,NORMINV(RAND(),$C$13,0.15)))</f>
        <v/>
      </c>
      <c r="I250" s="32">
        <f>MAX(0,NORMINV(RAND(),$C$14,0.033))</f>
        <v/>
      </c>
      <c r="J250" s="33">
        <f>($C$7*$C$8/365)*F250</f>
        <v/>
      </c>
      <c r="K250" s="33">
        <f>$C$7*G250*$C$12*H250</f>
        <v/>
      </c>
      <c r="L250" s="33">
        <f>$C$7*I250*$C$15</f>
        <v/>
      </c>
      <c r="M250" s="33">
        <f>J250-K250-L250</f>
        <v/>
      </c>
    </row>
    <row r="251">
      <c r="E251" s="20" t="n">
        <v>243</v>
      </c>
      <c r="F251" s="32">
        <f>MAX(0.03,MIN(0.18,NORMINV(RAND(),$C$9,$C$10)))</f>
        <v/>
      </c>
      <c r="G251" s="32">
        <f>MAX(0.02,MIN(0.9,NORMINV(RAND(),$C$11,0.10)))</f>
        <v/>
      </c>
      <c r="H251" s="32">
        <f>MAX(0.02,MIN(0.98,NORMINV(RAND(),$C$13,0.15)))</f>
        <v/>
      </c>
      <c r="I251" s="32">
        <f>MAX(0,NORMINV(RAND(),$C$14,0.033))</f>
        <v/>
      </c>
      <c r="J251" s="33">
        <f>($C$7*$C$8/365)*F251</f>
        <v/>
      </c>
      <c r="K251" s="33">
        <f>$C$7*G251*$C$12*H251</f>
        <v/>
      </c>
      <c r="L251" s="33">
        <f>$C$7*I251*$C$15</f>
        <v/>
      </c>
      <c r="M251" s="33">
        <f>J251-K251-L251</f>
        <v/>
      </c>
    </row>
    <row r="252">
      <c r="E252" s="20" t="n">
        <v>244</v>
      </c>
      <c r="F252" s="32">
        <f>MAX(0.03,MIN(0.18,NORMINV(RAND(),$C$9,$C$10)))</f>
        <v/>
      </c>
      <c r="G252" s="32">
        <f>MAX(0.02,MIN(0.9,NORMINV(RAND(),$C$11,0.10)))</f>
        <v/>
      </c>
      <c r="H252" s="32">
        <f>MAX(0.02,MIN(0.98,NORMINV(RAND(),$C$13,0.15)))</f>
        <v/>
      </c>
      <c r="I252" s="32">
        <f>MAX(0,NORMINV(RAND(),$C$14,0.033))</f>
        <v/>
      </c>
      <c r="J252" s="33">
        <f>($C$7*$C$8/365)*F252</f>
        <v/>
      </c>
      <c r="K252" s="33">
        <f>$C$7*G252*$C$12*H252</f>
        <v/>
      </c>
      <c r="L252" s="33">
        <f>$C$7*I252*$C$15</f>
        <v/>
      </c>
      <c r="M252" s="33">
        <f>J252-K252-L252</f>
        <v/>
      </c>
    </row>
    <row r="253">
      <c r="E253" s="20" t="n">
        <v>245</v>
      </c>
      <c r="F253" s="32">
        <f>MAX(0.03,MIN(0.18,NORMINV(RAND(),$C$9,$C$10)))</f>
        <v/>
      </c>
      <c r="G253" s="32">
        <f>MAX(0.02,MIN(0.9,NORMINV(RAND(),$C$11,0.10)))</f>
        <v/>
      </c>
      <c r="H253" s="32">
        <f>MAX(0.02,MIN(0.98,NORMINV(RAND(),$C$13,0.15)))</f>
        <v/>
      </c>
      <c r="I253" s="32">
        <f>MAX(0,NORMINV(RAND(),$C$14,0.033))</f>
        <v/>
      </c>
      <c r="J253" s="33">
        <f>($C$7*$C$8/365)*F253</f>
        <v/>
      </c>
      <c r="K253" s="33">
        <f>$C$7*G253*$C$12*H253</f>
        <v/>
      </c>
      <c r="L253" s="33">
        <f>$C$7*I253*$C$15</f>
        <v/>
      </c>
      <c r="M253" s="33">
        <f>J253-K253-L253</f>
        <v/>
      </c>
    </row>
    <row r="254">
      <c r="E254" s="20" t="n">
        <v>246</v>
      </c>
      <c r="F254" s="32">
        <f>MAX(0.03,MIN(0.18,NORMINV(RAND(),$C$9,$C$10)))</f>
        <v/>
      </c>
      <c r="G254" s="32">
        <f>MAX(0.02,MIN(0.9,NORMINV(RAND(),$C$11,0.10)))</f>
        <v/>
      </c>
      <c r="H254" s="32">
        <f>MAX(0.02,MIN(0.98,NORMINV(RAND(),$C$13,0.15)))</f>
        <v/>
      </c>
      <c r="I254" s="32">
        <f>MAX(0,NORMINV(RAND(),$C$14,0.033))</f>
        <v/>
      </c>
      <c r="J254" s="33">
        <f>($C$7*$C$8/365)*F254</f>
        <v/>
      </c>
      <c r="K254" s="33">
        <f>$C$7*G254*$C$12*H254</f>
        <v/>
      </c>
      <c r="L254" s="33">
        <f>$C$7*I254*$C$15</f>
        <v/>
      </c>
      <c r="M254" s="33">
        <f>J254-K254-L254</f>
        <v/>
      </c>
    </row>
    <row r="255">
      <c r="E255" s="20" t="n">
        <v>247</v>
      </c>
      <c r="F255" s="32">
        <f>MAX(0.03,MIN(0.18,NORMINV(RAND(),$C$9,$C$10)))</f>
        <v/>
      </c>
      <c r="G255" s="32">
        <f>MAX(0.02,MIN(0.9,NORMINV(RAND(),$C$11,0.10)))</f>
        <v/>
      </c>
      <c r="H255" s="32">
        <f>MAX(0.02,MIN(0.98,NORMINV(RAND(),$C$13,0.15)))</f>
        <v/>
      </c>
      <c r="I255" s="32">
        <f>MAX(0,NORMINV(RAND(),$C$14,0.033))</f>
        <v/>
      </c>
      <c r="J255" s="33">
        <f>($C$7*$C$8/365)*F255</f>
        <v/>
      </c>
      <c r="K255" s="33">
        <f>$C$7*G255*$C$12*H255</f>
        <v/>
      </c>
      <c r="L255" s="33">
        <f>$C$7*I255*$C$15</f>
        <v/>
      </c>
      <c r="M255" s="33">
        <f>J255-K255-L255</f>
        <v/>
      </c>
    </row>
    <row r="256">
      <c r="E256" s="20" t="n">
        <v>248</v>
      </c>
      <c r="F256" s="32">
        <f>MAX(0.03,MIN(0.18,NORMINV(RAND(),$C$9,$C$10)))</f>
        <v/>
      </c>
      <c r="G256" s="32">
        <f>MAX(0.02,MIN(0.9,NORMINV(RAND(),$C$11,0.10)))</f>
        <v/>
      </c>
      <c r="H256" s="32">
        <f>MAX(0.02,MIN(0.98,NORMINV(RAND(),$C$13,0.15)))</f>
        <v/>
      </c>
      <c r="I256" s="32">
        <f>MAX(0,NORMINV(RAND(),$C$14,0.033))</f>
        <v/>
      </c>
      <c r="J256" s="33">
        <f>($C$7*$C$8/365)*F256</f>
        <v/>
      </c>
      <c r="K256" s="33">
        <f>$C$7*G256*$C$12*H256</f>
        <v/>
      </c>
      <c r="L256" s="33">
        <f>$C$7*I256*$C$15</f>
        <v/>
      </c>
      <c r="M256" s="33">
        <f>J256-K256-L256</f>
        <v/>
      </c>
    </row>
    <row r="257">
      <c r="E257" s="20" t="n">
        <v>249</v>
      </c>
      <c r="F257" s="32">
        <f>MAX(0.03,MIN(0.18,NORMINV(RAND(),$C$9,$C$10)))</f>
        <v/>
      </c>
      <c r="G257" s="32">
        <f>MAX(0.02,MIN(0.9,NORMINV(RAND(),$C$11,0.10)))</f>
        <v/>
      </c>
      <c r="H257" s="32">
        <f>MAX(0.02,MIN(0.98,NORMINV(RAND(),$C$13,0.15)))</f>
        <v/>
      </c>
      <c r="I257" s="32">
        <f>MAX(0,NORMINV(RAND(),$C$14,0.033))</f>
        <v/>
      </c>
      <c r="J257" s="33">
        <f>($C$7*$C$8/365)*F257</f>
        <v/>
      </c>
      <c r="K257" s="33">
        <f>$C$7*G257*$C$12*H257</f>
        <v/>
      </c>
      <c r="L257" s="33">
        <f>$C$7*I257*$C$15</f>
        <v/>
      </c>
      <c r="M257" s="33">
        <f>J257-K257-L257</f>
        <v/>
      </c>
    </row>
    <row r="258">
      <c r="E258" s="20" t="n">
        <v>250</v>
      </c>
      <c r="F258" s="32">
        <f>MAX(0.03,MIN(0.18,NORMINV(RAND(),$C$9,$C$10)))</f>
        <v/>
      </c>
      <c r="G258" s="32">
        <f>MAX(0.02,MIN(0.9,NORMINV(RAND(),$C$11,0.10)))</f>
        <v/>
      </c>
      <c r="H258" s="32">
        <f>MAX(0.02,MIN(0.98,NORMINV(RAND(),$C$13,0.15)))</f>
        <v/>
      </c>
      <c r="I258" s="32">
        <f>MAX(0,NORMINV(RAND(),$C$14,0.033))</f>
        <v/>
      </c>
      <c r="J258" s="33">
        <f>($C$7*$C$8/365)*F258</f>
        <v/>
      </c>
      <c r="K258" s="33">
        <f>$C$7*G258*$C$12*H258</f>
        <v/>
      </c>
      <c r="L258" s="33">
        <f>$C$7*I258*$C$15</f>
        <v/>
      </c>
      <c r="M258" s="33">
        <f>J258-K258-L258</f>
        <v/>
      </c>
    </row>
    <row r="259">
      <c r="E259" s="20" t="n">
        <v>251</v>
      </c>
      <c r="F259" s="32">
        <f>MAX(0.03,MIN(0.18,NORMINV(RAND(),$C$9,$C$10)))</f>
        <v/>
      </c>
      <c r="G259" s="32">
        <f>MAX(0.02,MIN(0.9,NORMINV(RAND(),$C$11,0.10)))</f>
        <v/>
      </c>
      <c r="H259" s="32">
        <f>MAX(0.02,MIN(0.98,NORMINV(RAND(),$C$13,0.15)))</f>
        <v/>
      </c>
      <c r="I259" s="32">
        <f>MAX(0,NORMINV(RAND(),$C$14,0.033))</f>
        <v/>
      </c>
      <c r="J259" s="33">
        <f>($C$7*$C$8/365)*F259</f>
        <v/>
      </c>
      <c r="K259" s="33">
        <f>$C$7*G259*$C$12*H259</f>
        <v/>
      </c>
      <c r="L259" s="33">
        <f>$C$7*I259*$C$15</f>
        <v/>
      </c>
      <c r="M259" s="33">
        <f>J259-K259-L259</f>
        <v/>
      </c>
    </row>
    <row r="260">
      <c r="E260" s="20" t="n">
        <v>252</v>
      </c>
      <c r="F260" s="32">
        <f>MAX(0.03,MIN(0.18,NORMINV(RAND(),$C$9,$C$10)))</f>
        <v/>
      </c>
      <c r="G260" s="32">
        <f>MAX(0.02,MIN(0.9,NORMINV(RAND(),$C$11,0.10)))</f>
        <v/>
      </c>
      <c r="H260" s="32">
        <f>MAX(0.02,MIN(0.98,NORMINV(RAND(),$C$13,0.15)))</f>
        <v/>
      </c>
      <c r="I260" s="32">
        <f>MAX(0,NORMINV(RAND(),$C$14,0.033))</f>
        <v/>
      </c>
      <c r="J260" s="33">
        <f>($C$7*$C$8/365)*F260</f>
        <v/>
      </c>
      <c r="K260" s="33">
        <f>$C$7*G260*$C$12*H260</f>
        <v/>
      </c>
      <c r="L260" s="33">
        <f>$C$7*I260*$C$15</f>
        <v/>
      </c>
      <c r="M260" s="33">
        <f>J260-K260-L260</f>
        <v/>
      </c>
    </row>
    <row r="261">
      <c r="E261" s="20" t="n">
        <v>253</v>
      </c>
      <c r="F261" s="32">
        <f>MAX(0.03,MIN(0.18,NORMINV(RAND(),$C$9,$C$10)))</f>
        <v/>
      </c>
      <c r="G261" s="32">
        <f>MAX(0.02,MIN(0.9,NORMINV(RAND(),$C$11,0.10)))</f>
        <v/>
      </c>
      <c r="H261" s="32">
        <f>MAX(0.02,MIN(0.98,NORMINV(RAND(),$C$13,0.15)))</f>
        <v/>
      </c>
      <c r="I261" s="32">
        <f>MAX(0,NORMINV(RAND(),$C$14,0.033))</f>
        <v/>
      </c>
      <c r="J261" s="33">
        <f>($C$7*$C$8/365)*F261</f>
        <v/>
      </c>
      <c r="K261" s="33">
        <f>$C$7*G261*$C$12*H261</f>
        <v/>
      </c>
      <c r="L261" s="33">
        <f>$C$7*I261*$C$15</f>
        <v/>
      </c>
      <c r="M261" s="33">
        <f>J261-K261-L261</f>
        <v/>
      </c>
    </row>
    <row r="262">
      <c r="E262" s="20" t="n">
        <v>254</v>
      </c>
      <c r="F262" s="32">
        <f>MAX(0.03,MIN(0.18,NORMINV(RAND(),$C$9,$C$10)))</f>
        <v/>
      </c>
      <c r="G262" s="32">
        <f>MAX(0.02,MIN(0.9,NORMINV(RAND(),$C$11,0.10)))</f>
        <v/>
      </c>
      <c r="H262" s="32">
        <f>MAX(0.02,MIN(0.98,NORMINV(RAND(),$C$13,0.15)))</f>
        <v/>
      </c>
      <c r="I262" s="32">
        <f>MAX(0,NORMINV(RAND(),$C$14,0.033))</f>
        <v/>
      </c>
      <c r="J262" s="33">
        <f>($C$7*$C$8/365)*F262</f>
        <v/>
      </c>
      <c r="K262" s="33">
        <f>$C$7*G262*$C$12*H262</f>
        <v/>
      </c>
      <c r="L262" s="33">
        <f>$C$7*I262*$C$15</f>
        <v/>
      </c>
      <c r="M262" s="33">
        <f>J262-K262-L262</f>
        <v/>
      </c>
    </row>
    <row r="263">
      <c r="E263" s="20" t="n">
        <v>255</v>
      </c>
      <c r="F263" s="32">
        <f>MAX(0.03,MIN(0.18,NORMINV(RAND(),$C$9,$C$10)))</f>
        <v/>
      </c>
      <c r="G263" s="32">
        <f>MAX(0.02,MIN(0.9,NORMINV(RAND(),$C$11,0.10)))</f>
        <v/>
      </c>
      <c r="H263" s="32">
        <f>MAX(0.02,MIN(0.98,NORMINV(RAND(),$C$13,0.15)))</f>
        <v/>
      </c>
      <c r="I263" s="32">
        <f>MAX(0,NORMINV(RAND(),$C$14,0.033))</f>
        <v/>
      </c>
      <c r="J263" s="33">
        <f>($C$7*$C$8/365)*F263</f>
        <v/>
      </c>
      <c r="K263" s="33">
        <f>$C$7*G263*$C$12*H263</f>
        <v/>
      </c>
      <c r="L263" s="33">
        <f>$C$7*I263*$C$15</f>
        <v/>
      </c>
      <c r="M263" s="33">
        <f>J263-K263-L263</f>
        <v/>
      </c>
    </row>
    <row r="264">
      <c r="E264" s="20" t="n">
        <v>256</v>
      </c>
      <c r="F264" s="32">
        <f>MAX(0.03,MIN(0.18,NORMINV(RAND(),$C$9,$C$10)))</f>
        <v/>
      </c>
      <c r="G264" s="32">
        <f>MAX(0.02,MIN(0.9,NORMINV(RAND(),$C$11,0.10)))</f>
        <v/>
      </c>
      <c r="H264" s="32">
        <f>MAX(0.02,MIN(0.98,NORMINV(RAND(),$C$13,0.15)))</f>
        <v/>
      </c>
      <c r="I264" s="32">
        <f>MAX(0,NORMINV(RAND(),$C$14,0.033))</f>
        <v/>
      </c>
      <c r="J264" s="33">
        <f>($C$7*$C$8/365)*F264</f>
        <v/>
      </c>
      <c r="K264" s="33">
        <f>$C$7*G264*$C$12*H264</f>
        <v/>
      </c>
      <c r="L264" s="33">
        <f>$C$7*I264*$C$15</f>
        <v/>
      </c>
      <c r="M264" s="33">
        <f>J264-K264-L264</f>
        <v/>
      </c>
    </row>
    <row r="265">
      <c r="E265" s="20" t="n">
        <v>257</v>
      </c>
      <c r="F265" s="32">
        <f>MAX(0.03,MIN(0.18,NORMINV(RAND(),$C$9,$C$10)))</f>
        <v/>
      </c>
      <c r="G265" s="32">
        <f>MAX(0.02,MIN(0.9,NORMINV(RAND(),$C$11,0.10)))</f>
        <v/>
      </c>
      <c r="H265" s="32">
        <f>MAX(0.02,MIN(0.98,NORMINV(RAND(),$C$13,0.15)))</f>
        <v/>
      </c>
      <c r="I265" s="32">
        <f>MAX(0,NORMINV(RAND(),$C$14,0.033))</f>
        <v/>
      </c>
      <c r="J265" s="33">
        <f>($C$7*$C$8/365)*F265</f>
        <v/>
      </c>
      <c r="K265" s="33">
        <f>$C$7*G265*$C$12*H265</f>
        <v/>
      </c>
      <c r="L265" s="33">
        <f>$C$7*I265*$C$15</f>
        <v/>
      </c>
      <c r="M265" s="33">
        <f>J265-K265-L265</f>
        <v/>
      </c>
    </row>
    <row r="266">
      <c r="E266" s="20" t="n">
        <v>258</v>
      </c>
      <c r="F266" s="32">
        <f>MAX(0.03,MIN(0.18,NORMINV(RAND(),$C$9,$C$10)))</f>
        <v/>
      </c>
      <c r="G266" s="32">
        <f>MAX(0.02,MIN(0.9,NORMINV(RAND(),$C$11,0.10)))</f>
        <v/>
      </c>
      <c r="H266" s="32">
        <f>MAX(0.02,MIN(0.98,NORMINV(RAND(),$C$13,0.15)))</f>
        <v/>
      </c>
      <c r="I266" s="32">
        <f>MAX(0,NORMINV(RAND(),$C$14,0.033))</f>
        <v/>
      </c>
      <c r="J266" s="33">
        <f>($C$7*$C$8/365)*F266</f>
        <v/>
      </c>
      <c r="K266" s="33">
        <f>$C$7*G266*$C$12*H266</f>
        <v/>
      </c>
      <c r="L266" s="33">
        <f>$C$7*I266*$C$15</f>
        <v/>
      </c>
      <c r="M266" s="33">
        <f>J266-K266-L266</f>
        <v/>
      </c>
    </row>
    <row r="267">
      <c r="E267" s="20" t="n">
        <v>259</v>
      </c>
      <c r="F267" s="32">
        <f>MAX(0.03,MIN(0.18,NORMINV(RAND(),$C$9,$C$10)))</f>
        <v/>
      </c>
      <c r="G267" s="32">
        <f>MAX(0.02,MIN(0.9,NORMINV(RAND(),$C$11,0.10)))</f>
        <v/>
      </c>
      <c r="H267" s="32">
        <f>MAX(0.02,MIN(0.98,NORMINV(RAND(),$C$13,0.15)))</f>
        <v/>
      </c>
      <c r="I267" s="32">
        <f>MAX(0,NORMINV(RAND(),$C$14,0.033))</f>
        <v/>
      </c>
      <c r="J267" s="33">
        <f>($C$7*$C$8/365)*F267</f>
        <v/>
      </c>
      <c r="K267" s="33">
        <f>$C$7*G267*$C$12*H267</f>
        <v/>
      </c>
      <c r="L267" s="33">
        <f>$C$7*I267*$C$15</f>
        <v/>
      </c>
      <c r="M267" s="33">
        <f>J267-K267-L267</f>
        <v/>
      </c>
    </row>
    <row r="268">
      <c r="E268" s="20" t="n">
        <v>260</v>
      </c>
      <c r="F268" s="32">
        <f>MAX(0.03,MIN(0.18,NORMINV(RAND(),$C$9,$C$10)))</f>
        <v/>
      </c>
      <c r="G268" s="32">
        <f>MAX(0.02,MIN(0.9,NORMINV(RAND(),$C$11,0.10)))</f>
        <v/>
      </c>
      <c r="H268" s="32">
        <f>MAX(0.02,MIN(0.98,NORMINV(RAND(),$C$13,0.15)))</f>
        <v/>
      </c>
      <c r="I268" s="32">
        <f>MAX(0,NORMINV(RAND(),$C$14,0.033))</f>
        <v/>
      </c>
      <c r="J268" s="33">
        <f>($C$7*$C$8/365)*F268</f>
        <v/>
      </c>
      <c r="K268" s="33">
        <f>$C$7*G268*$C$12*H268</f>
        <v/>
      </c>
      <c r="L268" s="33">
        <f>$C$7*I268*$C$15</f>
        <v/>
      </c>
      <c r="M268" s="33">
        <f>J268-K268-L268</f>
        <v/>
      </c>
    </row>
    <row r="269">
      <c r="E269" s="20" t="n">
        <v>261</v>
      </c>
      <c r="F269" s="32">
        <f>MAX(0.03,MIN(0.18,NORMINV(RAND(),$C$9,$C$10)))</f>
        <v/>
      </c>
      <c r="G269" s="32">
        <f>MAX(0.02,MIN(0.9,NORMINV(RAND(),$C$11,0.10)))</f>
        <v/>
      </c>
      <c r="H269" s="32">
        <f>MAX(0.02,MIN(0.98,NORMINV(RAND(),$C$13,0.15)))</f>
        <v/>
      </c>
      <c r="I269" s="32">
        <f>MAX(0,NORMINV(RAND(),$C$14,0.033))</f>
        <v/>
      </c>
      <c r="J269" s="33">
        <f>($C$7*$C$8/365)*F269</f>
        <v/>
      </c>
      <c r="K269" s="33">
        <f>$C$7*G269*$C$12*H269</f>
        <v/>
      </c>
      <c r="L269" s="33">
        <f>$C$7*I269*$C$15</f>
        <v/>
      </c>
      <c r="M269" s="33">
        <f>J269-K269-L269</f>
        <v/>
      </c>
    </row>
    <row r="270">
      <c r="E270" s="20" t="n">
        <v>262</v>
      </c>
      <c r="F270" s="32">
        <f>MAX(0.03,MIN(0.18,NORMINV(RAND(),$C$9,$C$10)))</f>
        <v/>
      </c>
      <c r="G270" s="32">
        <f>MAX(0.02,MIN(0.9,NORMINV(RAND(),$C$11,0.10)))</f>
        <v/>
      </c>
      <c r="H270" s="32">
        <f>MAX(0.02,MIN(0.98,NORMINV(RAND(),$C$13,0.15)))</f>
        <v/>
      </c>
      <c r="I270" s="32">
        <f>MAX(0,NORMINV(RAND(),$C$14,0.033))</f>
        <v/>
      </c>
      <c r="J270" s="33">
        <f>($C$7*$C$8/365)*F270</f>
        <v/>
      </c>
      <c r="K270" s="33">
        <f>$C$7*G270*$C$12*H270</f>
        <v/>
      </c>
      <c r="L270" s="33">
        <f>$C$7*I270*$C$15</f>
        <v/>
      </c>
      <c r="M270" s="33">
        <f>J270-K270-L270</f>
        <v/>
      </c>
    </row>
    <row r="271">
      <c r="E271" s="20" t="n">
        <v>263</v>
      </c>
      <c r="F271" s="32">
        <f>MAX(0.03,MIN(0.18,NORMINV(RAND(),$C$9,$C$10)))</f>
        <v/>
      </c>
      <c r="G271" s="32">
        <f>MAX(0.02,MIN(0.9,NORMINV(RAND(),$C$11,0.10)))</f>
        <v/>
      </c>
      <c r="H271" s="32">
        <f>MAX(0.02,MIN(0.98,NORMINV(RAND(),$C$13,0.15)))</f>
        <v/>
      </c>
      <c r="I271" s="32">
        <f>MAX(0,NORMINV(RAND(),$C$14,0.033))</f>
        <v/>
      </c>
      <c r="J271" s="33">
        <f>($C$7*$C$8/365)*F271</f>
        <v/>
      </c>
      <c r="K271" s="33">
        <f>$C$7*G271*$C$12*H271</f>
        <v/>
      </c>
      <c r="L271" s="33">
        <f>$C$7*I271*$C$15</f>
        <v/>
      </c>
      <c r="M271" s="33">
        <f>J271-K271-L271</f>
        <v/>
      </c>
    </row>
    <row r="272">
      <c r="E272" s="20" t="n">
        <v>264</v>
      </c>
      <c r="F272" s="32">
        <f>MAX(0.03,MIN(0.18,NORMINV(RAND(),$C$9,$C$10)))</f>
        <v/>
      </c>
      <c r="G272" s="32">
        <f>MAX(0.02,MIN(0.9,NORMINV(RAND(),$C$11,0.10)))</f>
        <v/>
      </c>
      <c r="H272" s="32">
        <f>MAX(0.02,MIN(0.98,NORMINV(RAND(),$C$13,0.15)))</f>
        <v/>
      </c>
      <c r="I272" s="32">
        <f>MAX(0,NORMINV(RAND(),$C$14,0.033))</f>
        <v/>
      </c>
      <c r="J272" s="33">
        <f>($C$7*$C$8/365)*F272</f>
        <v/>
      </c>
      <c r="K272" s="33">
        <f>$C$7*G272*$C$12*H272</f>
        <v/>
      </c>
      <c r="L272" s="33">
        <f>$C$7*I272*$C$15</f>
        <v/>
      </c>
      <c r="M272" s="33">
        <f>J272-K272-L272</f>
        <v/>
      </c>
    </row>
    <row r="273">
      <c r="E273" s="20" t="n">
        <v>265</v>
      </c>
      <c r="F273" s="32">
        <f>MAX(0.03,MIN(0.18,NORMINV(RAND(),$C$9,$C$10)))</f>
        <v/>
      </c>
      <c r="G273" s="32">
        <f>MAX(0.02,MIN(0.9,NORMINV(RAND(),$C$11,0.10)))</f>
        <v/>
      </c>
      <c r="H273" s="32">
        <f>MAX(0.02,MIN(0.98,NORMINV(RAND(),$C$13,0.15)))</f>
        <v/>
      </c>
      <c r="I273" s="32">
        <f>MAX(0,NORMINV(RAND(),$C$14,0.033))</f>
        <v/>
      </c>
      <c r="J273" s="33">
        <f>($C$7*$C$8/365)*F273</f>
        <v/>
      </c>
      <c r="K273" s="33">
        <f>$C$7*G273*$C$12*H273</f>
        <v/>
      </c>
      <c r="L273" s="33">
        <f>$C$7*I273*$C$15</f>
        <v/>
      </c>
      <c r="M273" s="33">
        <f>J273-K273-L273</f>
        <v/>
      </c>
    </row>
    <row r="274">
      <c r="E274" s="20" t="n">
        <v>266</v>
      </c>
      <c r="F274" s="32">
        <f>MAX(0.03,MIN(0.18,NORMINV(RAND(),$C$9,$C$10)))</f>
        <v/>
      </c>
      <c r="G274" s="32">
        <f>MAX(0.02,MIN(0.9,NORMINV(RAND(),$C$11,0.10)))</f>
        <v/>
      </c>
      <c r="H274" s="32">
        <f>MAX(0.02,MIN(0.98,NORMINV(RAND(),$C$13,0.15)))</f>
        <v/>
      </c>
      <c r="I274" s="32">
        <f>MAX(0,NORMINV(RAND(),$C$14,0.033))</f>
        <v/>
      </c>
      <c r="J274" s="33">
        <f>($C$7*$C$8/365)*F274</f>
        <v/>
      </c>
      <c r="K274" s="33">
        <f>$C$7*G274*$C$12*H274</f>
        <v/>
      </c>
      <c r="L274" s="33">
        <f>$C$7*I274*$C$15</f>
        <v/>
      </c>
      <c r="M274" s="33">
        <f>J274-K274-L274</f>
        <v/>
      </c>
    </row>
    <row r="275">
      <c r="E275" s="20" t="n">
        <v>267</v>
      </c>
      <c r="F275" s="32">
        <f>MAX(0.03,MIN(0.18,NORMINV(RAND(),$C$9,$C$10)))</f>
        <v/>
      </c>
      <c r="G275" s="32">
        <f>MAX(0.02,MIN(0.9,NORMINV(RAND(),$C$11,0.10)))</f>
        <v/>
      </c>
      <c r="H275" s="32">
        <f>MAX(0.02,MIN(0.98,NORMINV(RAND(),$C$13,0.15)))</f>
        <v/>
      </c>
      <c r="I275" s="32">
        <f>MAX(0,NORMINV(RAND(),$C$14,0.033))</f>
        <v/>
      </c>
      <c r="J275" s="33">
        <f>($C$7*$C$8/365)*F275</f>
        <v/>
      </c>
      <c r="K275" s="33">
        <f>$C$7*G275*$C$12*H275</f>
        <v/>
      </c>
      <c r="L275" s="33">
        <f>$C$7*I275*$C$15</f>
        <v/>
      </c>
      <c r="M275" s="33">
        <f>J275-K275-L275</f>
        <v/>
      </c>
    </row>
    <row r="276">
      <c r="E276" s="20" t="n">
        <v>268</v>
      </c>
      <c r="F276" s="32">
        <f>MAX(0.03,MIN(0.18,NORMINV(RAND(),$C$9,$C$10)))</f>
        <v/>
      </c>
      <c r="G276" s="32">
        <f>MAX(0.02,MIN(0.9,NORMINV(RAND(),$C$11,0.10)))</f>
        <v/>
      </c>
      <c r="H276" s="32">
        <f>MAX(0.02,MIN(0.98,NORMINV(RAND(),$C$13,0.15)))</f>
        <v/>
      </c>
      <c r="I276" s="32">
        <f>MAX(0,NORMINV(RAND(),$C$14,0.033))</f>
        <v/>
      </c>
      <c r="J276" s="33">
        <f>($C$7*$C$8/365)*F276</f>
        <v/>
      </c>
      <c r="K276" s="33">
        <f>$C$7*G276*$C$12*H276</f>
        <v/>
      </c>
      <c r="L276" s="33">
        <f>$C$7*I276*$C$15</f>
        <v/>
      </c>
      <c r="M276" s="33">
        <f>J276-K276-L276</f>
        <v/>
      </c>
    </row>
    <row r="277">
      <c r="E277" s="20" t="n">
        <v>269</v>
      </c>
      <c r="F277" s="32">
        <f>MAX(0.03,MIN(0.18,NORMINV(RAND(),$C$9,$C$10)))</f>
        <v/>
      </c>
      <c r="G277" s="32">
        <f>MAX(0.02,MIN(0.9,NORMINV(RAND(),$C$11,0.10)))</f>
        <v/>
      </c>
      <c r="H277" s="32">
        <f>MAX(0.02,MIN(0.98,NORMINV(RAND(),$C$13,0.15)))</f>
        <v/>
      </c>
      <c r="I277" s="32">
        <f>MAX(0,NORMINV(RAND(),$C$14,0.033))</f>
        <v/>
      </c>
      <c r="J277" s="33">
        <f>($C$7*$C$8/365)*F277</f>
        <v/>
      </c>
      <c r="K277" s="33">
        <f>$C$7*G277*$C$12*H277</f>
        <v/>
      </c>
      <c r="L277" s="33">
        <f>$C$7*I277*$C$15</f>
        <v/>
      </c>
      <c r="M277" s="33">
        <f>J277-K277-L277</f>
        <v/>
      </c>
    </row>
    <row r="278">
      <c r="E278" s="20" t="n">
        <v>270</v>
      </c>
      <c r="F278" s="32">
        <f>MAX(0.03,MIN(0.18,NORMINV(RAND(),$C$9,$C$10)))</f>
        <v/>
      </c>
      <c r="G278" s="32">
        <f>MAX(0.02,MIN(0.9,NORMINV(RAND(),$C$11,0.10)))</f>
        <v/>
      </c>
      <c r="H278" s="32">
        <f>MAX(0.02,MIN(0.98,NORMINV(RAND(),$C$13,0.15)))</f>
        <v/>
      </c>
      <c r="I278" s="32">
        <f>MAX(0,NORMINV(RAND(),$C$14,0.033))</f>
        <v/>
      </c>
      <c r="J278" s="33">
        <f>($C$7*$C$8/365)*F278</f>
        <v/>
      </c>
      <c r="K278" s="33">
        <f>$C$7*G278*$C$12*H278</f>
        <v/>
      </c>
      <c r="L278" s="33">
        <f>$C$7*I278*$C$15</f>
        <v/>
      </c>
      <c r="M278" s="33">
        <f>J278-K278-L278</f>
        <v/>
      </c>
    </row>
    <row r="279">
      <c r="E279" s="20" t="n">
        <v>271</v>
      </c>
      <c r="F279" s="32">
        <f>MAX(0.03,MIN(0.18,NORMINV(RAND(),$C$9,$C$10)))</f>
        <v/>
      </c>
      <c r="G279" s="32">
        <f>MAX(0.02,MIN(0.9,NORMINV(RAND(),$C$11,0.10)))</f>
        <v/>
      </c>
      <c r="H279" s="32">
        <f>MAX(0.02,MIN(0.98,NORMINV(RAND(),$C$13,0.15)))</f>
        <v/>
      </c>
      <c r="I279" s="32">
        <f>MAX(0,NORMINV(RAND(),$C$14,0.033))</f>
        <v/>
      </c>
      <c r="J279" s="33">
        <f>($C$7*$C$8/365)*F279</f>
        <v/>
      </c>
      <c r="K279" s="33">
        <f>$C$7*G279*$C$12*H279</f>
        <v/>
      </c>
      <c r="L279" s="33">
        <f>$C$7*I279*$C$15</f>
        <v/>
      </c>
      <c r="M279" s="33">
        <f>J279-K279-L279</f>
        <v/>
      </c>
    </row>
    <row r="280">
      <c r="E280" s="20" t="n">
        <v>272</v>
      </c>
      <c r="F280" s="32">
        <f>MAX(0.03,MIN(0.18,NORMINV(RAND(),$C$9,$C$10)))</f>
        <v/>
      </c>
      <c r="G280" s="32">
        <f>MAX(0.02,MIN(0.9,NORMINV(RAND(),$C$11,0.10)))</f>
        <v/>
      </c>
      <c r="H280" s="32">
        <f>MAX(0.02,MIN(0.98,NORMINV(RAND(),$C$13,0.15)))</f>
        <v/>
      </c>
      <c r="I280" s="32">
        <f>MAX(0,NORMINV(RAND(),$C$14,0.033))</f>
        <v/>
      </c>
      <c r="J280" s="33">
        <f>($C$7*$C$8/365)*F280</f>
        <v/>
      </c>
      <c r="K280" s="33">
        <f>$C$7*G280*$C$12*H280</f>
        <v/>
      </c>
      <c r="L280" s="33">
        <f>$C$7*I280*$C$15</f>
        <v/>
      </c>
      <c r="M280" s="33">
        <f>J280-K280-L280</f>
        <v/>
      </c>
    </row>
    <row r="281">
      <c r="E281" s="20" t="n">
        <v>273</v>
      </c>
      <c r="F281" s="32">
        <f>MAX(0.03,MIN(0.18,NORMINV(RAND(),$C$9,$C$10)))</f>
        <v/>
      </c>
      <c r="G281" s="32">
        <f>MAX(0.02,MIN(0.9,NORMINV(RAND(),$C$11,0.10)))</f>
        <v/>
      </c>
      <c r="H281" s="32">
        <f>MAX(0.02,MIN(0.98,NORMINV(RAND(),$C$13,0.15)))</f>
        <v/>
      </c>
      <c r="I281" s="32">
        <f>MAX(0,NORMINV(RAND(),$C$14,0.033))</f>
        <v/>
      </c>
      <c r="J281" s="33">
        <f>($C$7*$C$8/365)*F281</f>
        <v/>
      </c>
      <c r="K281" s="33">
        <f>$C$7*G281*$C$12*H281</f>
        <v/>
      </c>
      <c r="L281" s="33">
        <f>$C$7*I281*$C$15</f>
        <v/>
      </c>
      <c r="M281" s="33">
        <f>J281-K281-L281</f>
        <v/>
      </c>
    </row>
    <row r="282">
      <c r="E282" s="20" t="n">
        <v>274</v>
      </c>
      <c r="F282" s="32">
        <f>MAX(0.03,MIN(0.18,NORMINV(RAND(),$C$9,$C$10)))</f>
        <v/>
      </c>
      <c r="G282" s="32">
        <f>MAX(0.02,MIN(0.9,NORMINV(RAND(),$C$11,0.10)))</f>
        <v/>
      </c>
      <c r="H282" s="32">
        <f>MAX(0.02,MIN(0.98,NORMINV(RAND(),$C$13,0.15)))</f>
        <v/>
      </c>
      <c r="I282" s="32">
        <f>MAX(0,NORMINV(RAND(),$C$14,0.033))</f>
        <v/>
      </c>
      <c r="J282" s="33">
        <f>($C$7*$C$8/365)*F282</f>
        <v/>
      </c>
      <c r="K282" s="33">
        <f>$C$7*G282*$C$12*H282</f>
        <v/>
      </c>
      <c r="L282" s="33">
        <f>$C$7*I282*$C$15</f>
        <v/>
      </c>
      <c r="M282" s="33">
        <f>J282-K282-L282</f>
        <v/>
      </c>
    </row>
    <row r="283">
      <c r="E283" s="20" t="n">
        <v>275</v>
      </c>
      <c r="F283" s="32">
        <f>MAX(0.03,MIN(0.18,NORMINV(RAND(),$C$9,$C$10)))</f>
        <v/>
      </c>
      <c r="G283" s="32">
        <f>MAX(0.02,MIN(0.9,NORMINV(RAND(),$C$11,0.10)))</f>
        <v/>
      </c>
      <c r="H283" s="32">
        <f>MAX(0.02,MIN(0.98,NORMINV(RAND(),$C$13,0.15)))</f>
        <v/>
      </c>
      <c r="I283" s="32">
        <f>MAX(0,NORMINV(RAND(),$C$14,0.033))</f>
        <v/>
      </c>
      <c r="J283" s="33">
        <f>($C$7*$C$8/365)*F283</f>
        <v/>
      </c>
      <c r="K283" s="33">
        <f>$C$7*G283*$C$12*H283</f>
        <v/>
      </c>
      <c r="L283" s="33">
        <f>$C$7*I283*$C$15</f>
        <v/>
      </c>
      <c r="M283" s="33">
        <f>J283-K283-L283</f>
        <v/>
      </c>
    </row>
    <row r="284">
      <c r="E284" s="20" t="n">
        <v>276</v>
      </c>
      <c r="F284" s="32">
        <f>MAX(0.03,MIN(0.18,NORMINV(RAND(),$C$9,$C$10)))</f>
        <v/>
      </c>
      <c r="G284" s="32">
        <f>MAX(0.02,MIN(0.9,NORMINV(RAND(),$C$11,0.10)))</f>
        <v/>
      </c>
      <c r="H284" s="32">
        <f>MAX(0.02,MIN(0.98,NORMINV(RAND(),$C$13,0.15)))</f>
        <v/>
      </c>
      <c r="I284" s="32">
        <f>MAX(0,NORMINV(RAND(),$C$14,0.033))</f>
        <v/>
      </c>
      <c r="J284" s="33">
        <f>($C$7*$C$8/365)*F284</f>
        <v/>
      </c>
      <c r="K284" s="33">
        <f>$C$7*G284*$C$12*H284</f>
        <v/>
      </c>
      <c r="L284" s="33">
        <f>$C$7*I284*$C$15</f>
        <v/>
      </c>
      <c r="M284" s="33">
        <f>J284-K284-L284</f>
        <v/>
      </c>
    </row>
    <row r="285">
      <c r="E285" s="20" t="n">
        <v>277</v>
      </c>
      <c r="F285" s="32">
        <f>MAX(0.03,MIN(0.18,NORMINV(RAND(),$C$9,$C$10)))</f>
        <v/>
      </c>
      <c r="G285" s="32">
        <f>MAX(0.02,MIN(0.9,NORMINV(RAND(),$C$11,0.10)))</f>
        <v/>
      </c>
      <c r="H285" s="32">
        <f>MAX(0.02,MIN(0.98,NORMINV(RAND(),$C$13,0.15)))</f>
        <v/>
      </c>
      <c r="I285" s="32">
        <f>MAX(0,NORMINV(RAND(),$C$14,0.033))</f>
        <v/>
      </c>
      <c r="J285" s="33">
        <f>($C$7*$C$8/365)*F285</f>
        <v/>
      </c>
      <c r="K285" s="33">
        <f>$C$7*G285*$C$12*H285</f>
        <v/>
      </c>
      <c r="L285" s="33">
        <f>$C$7*I285*$C$15</f>
        <v/>
      </c>
      <c r="M285" s="33">
        <f>J285-K285-L285</f>
        <v/>
      </c>
    </row>
    <row r="286">
      <c r="E286" s="20" t="n">
        <v>278</v>
      </c>
      <c r="F286" s="32">
        <f>MAX(0.03,MIN(0.18,NORMINV(RAND(),$C$9,$C$10)))</f>
        <v/>
      </c>
      <c r="G286" s="32">
        <f>MAX(0.02,MIN(0.9,NORMINV(RAND(),$C$11,0.10)))</f>
        <v/>
      </c>
      <c r="H286" s="32">
        <f>MAX(0.02,MIN(0.98,NORMINV(RAND(),$C$13,0.15)))</f>
        <v/>
      </c>
      <c r="I286" s="32">
        <f>MAX(0,NORMINV(RAND(),$C$14,0.033))</f>
        <v/>
      </c>
      <c r="J286" s="33">
        <f>($C$7*$C$8/365)*F286</f>
        <v/>
      </c>
      <c r="K286" s="33">
        <f>$C$7*G286*$C$12*H286</f>
        <v/>
      </c>
      <c r="L286" s="33">
        <f>$C$7*I286*$C$15</f>
        <v/>
      </c>
      <c r="M286" s="33">
        <f>J286-K286-L286</f>
        <v/>
      </c>
    </row>
    <row r="287">
      <c r="E287" s="20" t="n">
        <v>279</v>
      </c>
      <c r="F287" s="32">
        <f>MAX(0.03,MIN(0.18,NORMINV(RAND(),$C$9,$C$10)))</f>
        <v/>
      </c>
      <c r="G287" s="32">
        <f>MAX(0.02,MIN(0.9,NORMINV(RAND(),$C$11,0.10)))</f>
        <v/>
      </c>
      <c r="H287" s="32">
        <f>MAX(0.02,MIN(0.98,NORMINV(RAND(),$C$13,0.15)))</f>
        <v/>
      </c>
      <c r="I287" s="32">
        <f>MAX(0,NORMINV(RAND(),$C$14,0.033))</f>
        <v/>
      </c>
      <c r="J287" s="33">
        <f>($C$7*$C$8/365)*F287</f>
        <v/>
      </c>
      <c r="K287" s="33">
        <f>$C$7*G287*$C$12*H287</f>
        <v/>
      </c>
      <c r="L287" s="33">
        <f>$C$7*I287*$C$15</f>
        <v/>
      </c>
      <c r="M287" s="33">
        <f>J287-K287-L287</f>
        <v/>
      </c>
    </row>
    <row r="288">
      <c r="E288" s="20" t="n">
        <v>280</v>
      </c>
      <c r="F288" s="32">
        <f>MAX(0.03,MIN(0.18,NORMINV(RAND(),$C$9,$C$10)))</f>
        <v/>
      </c>
      <c r="G288" s="32">
        <f>MAX(0.02,MIN(0.9,NORMINV(RAND(),$C$11,0.10)))</f>
        <v/>
      </c>
      <c r="H288" s="32">
        <f>MAX(0.02,MIN(0.98,NORMINV(RAND(),$C$13,0.15)))</f>
        <v/>
      </c>
      <c r="I288" s="32">
        <f>MAX(0,NORMINV(RAND(),$C$14,0.033))</f>
        <v/>
      </c>
      <c r="J288" s="33">
        <f>($C$7*$C$8/365)*F288</f>
        <v/>
      </c>
      <c r="K288" s="33">
        <f>$C$7*G288*$C$12*H288</f>
        <v/>
      </c>
      <c r="L288" s="33">
        <f>$C$7*I288*$C$15</f>
        <v/>
      </c>
      <c r="M288" s="33">
        <f>J288-K288-L288</f>
        <v/>
      </c>
    </row>
    <row r="289">
      <c r="E289" s="20" t="n">
        <v>281</v>
      </c>
      <c r="F289" s="32">
        <f>MAX(0.03,MIN(0.18,NORMINV(RAND(),$C$9,$C$10)))</f>
        <v/>
      </c>
      <c r="G289" s="32">
        <f>MAX(0.02,MIN(0.9,NORMINV(RAND(),$C$11,0.10)))</f>
        <v/>
      </c>
      <c r="H289" s="32">
        <f>MAX(0.02,MIN(0.98,NORMINV(RAND(),$C$13,0.15)))</f>
        <v/>
      </c>
      <c r="I289" s="32">
        <f>MAX(0,NORMINV(RAND(),$C$14,0.033))</f>
        <v/>
      </c>
      <c r="J289" s="33">
        <f>($C$7*$C$8/365)*F289</f>
        <v/>
      </c>
      <c r="K289" s="33">
        <f>$C$7*G289*$C$12*H289</f>
        <v/>
      </c>
      <c r="L289" s="33">
        <f>$C$7*I289*$C$15</f>
        <v/>
      </c>
      <c r="M289" s="33">
        <f>J289-K289-L289</f>
        <v/>
      </c>
    </row>
    <row r="290">
      <c r="E290" s="20" t="n">
        <v>282</v>
      </c>
      <c r="F290" s="32">
        <f>MAX(0.03,MIN(0.18,NORMINV(RAND(),$C$9,$C$10)))</f>
        <v/>
      </c>
      <c r="G290" s="32">
        <f>MAX(0.02,MIN(0.9,NORMINV(RAND(),$C$11,0.10)))</f>
        <v/>
      </c>
      <c r="H290" s="32">
        <f>MAX(0.02,MIN(0.98,NORMINV(RAND(),$C$13,0.15)))</f>
        <v/>
      </c>
      <c r="I290" s="32">
        <f>MAX(0,NORMINV(RAND(),$C$14,0.033))</f>
        <v/>
      </c>
      <c r="J290" s="33">
        <f>($C$7*$C$8/365)*F290</f>
        <v/>
      </c>
      <c r="K290" s="33">
        <f>$C$7*G290*$C$12*H290</f>
        <v/>
      </c>
      <c r="L290" s="33">
        <f>$C$7*I290*$C$15</f>
        <v/>
      </c>
      <c r="M290" s="33">
        <f>J290-K290-L290</f>
        <v/>
      </c>
    </row>
    <row r="291">
      <c r="E291" s="20" t="n">
        <v>283</v>
      </c>
      <c r="F291" s="32">
        <f>MAX(0.03,MIN(0.18,NORMINV(RAND(),$C$9,$C$10)))</f>
        <v/>
      </c>
      <c r="G291" s="32">
        <f>MAX(0.02,MIN(0.9,NORMINV(RAND(),$C$11,0.10)))</f>
        <v/>
      </c>
      <c r="H291" s="32">
        <f>MAX(0.02,MIN(0.98,NORMINV(RAND(),$C$13,0.15)))</f>
        <v/>
      </c>
      <c r="I291" s="32">
        <f>MAX(0,NORMINV(RAND(),$C$14,0.033))</f>
        <v/>
      </c>
      <c r="J291" s="33">
        <f>($C$7*$C$8/365)*F291</f>
        <v/>
      </c>
      <c r="K291" s="33">
        <f>$C$7*G291*$C$12*H291</f>
        <v/>
      </c>
      <c r="L291" s="33">
        <f>$C$7*I291*$C$15</f>
        <v/>
      </c>
      <c r="M291" s="33">
        <f>J291-K291-L291</f>
        <v/>
      </c>
    </row>
    <row r="292">
      <c r="E292" s="20" t="n">
        <v>284</v>
      </c>
      <c r="F292" s="32">
        <f>MAX(0.03,MIN(0.18,NORMINV(RAND(),$C$9,$C$10)))</f>
        <v/>
      </c>
      <c r="G292" s="32">
        <f>MAX(0.02,MIN(0.9,NORMINV(RAND(),$C$11,0.10)))</f>
        <v/>
      </c>
      <c r="H292" s="32">
        <f>MAX(0.02,MIN(0.98,NORMINV(RAND(),$C$13,0.15)))</f>
        <v/>
      </c>
      <c r="I292" s="32">
        <f>MAX(0,NORMINV(RAND(),$C$14,0.033))</f>
        <v/>
      </c>
      <c r="J292" s="33">
        <f>($C$7*$C$8/365)*F292</f>
        <v/>
      </c>
      <c r="K292" s="33">
        <f>$C$7*G292*$C$12*H292</f>
        <v/>
      </c>
      <c r="L292" s="33">
        <f>$C$7*I292*$C$15</f>
        <v/>
      </c>
      <c r="M292" s="33">
        <f>J292-K292-L292</f>
        <v/>
      </c>
    </row>
    <row r="293">
      <c r="E293" s="20" t="n">
        <v>285</v>
      </c>
      <c r="F293" s="32">
        <f>MAX(0.03,MIN(0.18,NORMINV(RAND(),$C$9,$C$10)))</f>
        <v/>
      </c>
      <c r="G293" s="32">
        <f>MAX(0.02,MIN(0.9,NORMINV(RAND(),$C$11,0.10)))</f>
        <v/>
      </c>
      <c r="H293" s="32">
        <f>MAX(0.02,MIN(0.98,NORMINV(RAND(),$C$13,0.15)))</f>
        <v/>
      </c>
      <c r="I293" s="32">
        <f>MAX(0,NORMINV(RAND(),$C$14,0.033))</f>
        <v/>
      </c>
      <c r="J293" s="33">
        <f>($C$7*$C$8/365)*F293</f>
        <v/>
      </c>
      <c r="K293" s="33">
        <f>$C$7*G293*$C$12*H293</f>
        <v/>
      </c>
      <c r="L293" s="33">
        <f>$C$7*I293*$C$15</f>
        <v/>
      </c>
      <c r="M293" s="33">
        <f>J293-K293-L293</f>
        <v/>
      </c>
    </row>
    <row r="294">
      <c r="E294" s="20" t="n">
        <v>286</v>
      </c>
      <c r="F294" s="32">
        <f>MAX(0.03,MIN(0.18,NORMINV(RAND(),$C$9,$C$10)))</f>
        <v/>
      </c>
      <c r="G294" s="32">
        <f>MAX(0.02,MIN(0.9,NORMINV(RAND(),$C$11,0.10)))</f>
        <v/>
      </c>
      <c r="H294" s="32">
        <f>MAX(0.02,MIN(0.98,NORMINV(RAND(),$C$13,0.15)))</f>
        <v/>
      </c>
      <c r="I294" s="32">
        <f>MAX(0,NORMINV(RAND(),$C$14,0.033))</f>
        <v/>
      </c>
      <c r="J294" s="33">
        <f>($C$7*$C$8/365)*F294</f>
        <v/>
      </c>
      <c r="K294" s="33">
        <f>$C$7*G294*$C$12*H294</f>
        <v/>
      </c>
      <c r="L294" s="33">
        <f>$C$7*I294*$C$15</f>
        <v/>
      </c>
      <c r="M294" s="33">
        <f>J294-K294-L294</f>
        <v/>
      </c>
    </row>
    <row r="295">
      <c r="E295" s="20" t="n">
        <v>287</v>
      </c>
      <c r="F295" s="32">
        <f>MAX(0.03,MIN(0.18,NORMINV(RAND(),$C$9,$C$10)))</f>
        <v/>
      </c>
      <c r="G295" s="32">
        <f>MAX(0.02,MIN(0.9,NORMINV(RAND(),$C$11,0.10)))</f>
        <v/>
      </c>
      <c r="H295" s="32">
        <f>MAX(0.02,MIN(0.98,NORMINV(RAND(),$C$13,0.15)))</f>
        <v/>
      </c>
      <c r="I295" s="32">
        <f>MAX(0,NORMINV(RAND(),$C$14,0.033))</f>
        <v/>
      </c>
      <c r="J295" s="33">
        <f>($C$7*$C$8/365)*F295</f>
        <v/>
      </c>
      <c r="K295" s="33">
        <f>$C$7*G295*$C$12*H295</f>
        <v/>
      </c>
      <c r="L295" s="33">
        <f>$C$7*I295*$C$15</f>
        <v/>
      </c>
      <c r="M295" s="33">
        <f>J295-K295-L295</f>
        <v/>
      </c>
    </row>
    <row r="296">
      <c r="E296" s="20" t="n">
        <v>288</v>
      </c>
      <c r="F296" s="32">
        <f>MAX(0.03,MIN(0.18,NORMINV(RAND(),$C$9,$C$10)))</f>
        <v/>
      </c>
      <c r="G296" s="32">
        <f>MAX(0.02,MIN(0.9,NORMINV(RAND(),$C$11,0.10)))</f>
        <v/>
      </c>
      <c r="H296" s="32">
        <f>MAX(0.02,MIN(0.98,NORMINV(RAND(),$C$13,0.15)))</f>
        <v/>
      </c>
      <c r="I296" s="32">
        <f>MAX(0,NORMINV(RAND(),$C$14,0.033))</f>
        <v/>
      </c>
      <c r="J296" s="33">
        <f>($C$7*$C$8/365)*F296</f>
        <v/>
      </c>
      <c r="K296" s="33">
        <f>$C$7*G296*$C$12*H296</f>
        <v/>
      </c>
      <c r="L296" s="33">
        <f>$C$7*I296*$C$15</f>
        <v/>
      </c>
      <c r="M296" s="33">
        <f>J296-K296-L296</f>
        <v/>
      </c>
    </row>
    <row r="297">
      <c r="E297" s="20" t="n">
        <v>289</v>
      </c>
      <c r="F297" s="32">
        <f>MAX(0.03,MIN(0.18,NORMINV(RAND(),$C$9,$C$10)))</f>
        <v/>
      </c>
      <c r="G297" s="32">
        <f>MAX(0.02,MIN(0.9,NORMINV(RAND(),$C$11,0.10)))</f>
        <v/>
      </c>
      <c r="H297" s="32">
        <f>MAX(0.02,MIN(0.98,NORMINV(RAND(),$C$13,0.15)))</f>
        <v/>
      </c>
      <c r="I297" s="32">
        <f>MAX(0,NORMINV(RAND(),$C$14,0.033))</f>
        <v/>
      </c>
      <c r="J297" s="33">
        <f>($C$7*$C$8/365)*F297</f>
        <v/>
      </c>
      <c r="K297" s="33">
        <f>$C$7*G297*$C$12*H297</f>
        <v/>
      </c>
      <c r="L297" s="33">
        <f>$C$7*I297*$C$15</f>
        <v/>
      </c>
      <c r="M297" s="33">
        <f>J297-K297-L297</f>
        <v/>
      </c>
    </row>
    <row r="298">
      <c r="E298" s="20" t="n">
        <v>290</v>
      </c>
      <c r="F298" s="32">
        <f>MAX(0.03,MIN(0.18,NORMINV(RAND(),$C$9,$C$10)))</f>
        <v/>
      </c>
      <c r="G298" s="32">
        <f>MAX(0.02,MIN(0.9,NORMINV(RAND(),$C$11,0.10)))</f>
        <v/>
      </c>
      <c r="H298" s="32">
        <f>MAX(0.02,MIN(0.98,NORMINV(RAND(),$C$13,0.15)))</f>
        <v/>
      </c>
      <c r="I298" s="32">
        <f>MAX(0,NORMINV(RAND(),$C$14,0.033))</f>
        <v/>
      </c>
      <c r="J298" s="33">
        <f>($C$7*$C$8/365)*F298</f>
        <v/>
      </c>
      <c r="K298" s="33">
        <f>$C$7*G298*$C$12*H298</f>
        <v/>
      </c>
      <c r="L298" s="33">
        <f>$C$7*I298*$C$15</f>
        <v/>
      </c>
      <c r="M298" s="33">
        <f>J298-K298-L298</f>
        <v/>
      </c>
    </row>
    <row r="299">
      <c r="E299" s="20" t="n">
        <v>291</v>
      </c>
      <c r="F299" s="32">
        <f>MAX(0.03,MIN(0.18,NORMINV(RAND(),$C$9,$C$10)))</f>
        <v/>
      </c>
      <c r="G299" s="32">
        <f>MAX(0.02,MIN(0.9,NORMINV(RAND(),$C$11,0.10)))</f>
        <v/>
      </c>
      <c r="H299" s="32">
        <f>MAX(0.02,MIN(0.98,NORMINV(RAND(),$C$13,0.15)))</f>
        <v/>
      </c>
      <c r="I299" s="32">
        <f>MAX(0,NORMINV(RAND(),$C$14,0.033))</f>
        <v/>
      </c>
      <c r="J299" s="33">
        <f>($C$7*$C$8/365)*F299</f>
        <v/>
      </c>
      <c r="K299" s="33">
        <f>$C$7*G299*$C$12*H299</f>
        <v/>
      </c>
      <c r="L299" s="33">
        <f>$C$7*I299*$C$15</f>
        <v/>
      </c>
      <c r="M299" s="33">
        <f>J299-K299-L299</f>
        <v/>
      </c>
    </row>
    <row r="300">
      <c r="E300" s="20" t="n">
        <v>292</v>
      </c>
      <c r="F300" s="32">
        <f>MAX(0.03,MIN(0.18,NORMINV(RAND(),$C$9,$C$10)))</f>
        <v/>
      </c>
      <c r="G300" s="32">
        <f>MAX(0.02,MIN(0.9,NORMINV(RAND(),$C$11,0.10)))</f>
        <v/>
      </c>
      <c r="H300" s="32">
        <f>MAX(0.02,MIN(0.98,NORMINV(RAND(),$C$13,0.15)))</f>
        <v/>
      </c>
      <c r="I300" s="32">
        <f>MAX(0,NORMINV(RAND(),$C$14,0.033))</f>
        <v/>
      </c>
      <c r="J300" s="33">
        <f>($C$7*$C$8/365)*F300</f>
        <v/>
      </c>
      <c r="K300" s="33">
        <f>$C$7*G300*$C$12*H300</f>
        <v/>
      </c>
      <c r="L300" s="33">
        <f>$C$7*I300*$C$15</f>
        <v/>
      </c>
      <c r="M300" s="33">
        <f>J300-K300-L300</f>
        <v/>
      </c>
    </row>
    <row r="301">
      <c r="E301" s="20" t="n">
        <v>293</v>
      </c>
      <c r="F301" s="32">
        <f>MAX(0.03,MIN(0.18,NORMINV(RAND(),$C$9,$C$10)))</f>
        <v/>
      </c>
      <c r="G301" s="32">
        <f>MAX(0.02,MIN(0.9,NORMINV(RAND(),$C$11,0.10)))</f>
        <v/>
      </c>
      <c r="H301" s="32">
        <f>MAX(0.02,MIN(0.98,NORMINV(RAND(),$C$13,0.15)))</f>
        <v/>
      </c>
      <c r="I301" s="32">
        <f>MAX(0,NORMINV(RAND(),$C$14,0.033))</f>
        <v/>
      </c>
      <c r="J301" s="33">
        <f>($C$7*$C$8/365)*F301</f>
        <v/>
      </c>
      <c r="K301" s="33">
        <f>$C$7*G301*$C$12*H301</f>
        <v/>
      </c>
      <c r="L301" s="33">
        <f>$C$7*I301*$C$15</f>
        <v/>
      </c>
      <c r="M301" s="33">
        <f>J301-K301-L301</f>
        <v/>
      </c>
    </row>
    <row r="302">
      <c r="E302" s="20" t="n">
        <v>294</v>
      </c>
      <c r="F302" s="32">
        <f>MAX(0.03,MIN(0.18,NORMINV(RAND(),$C$9,$C$10)))</f>
        <v/>
      </c>
      <c r="G302" s="32">
        <f>MAX(0.02,MIN(0.9,NORMINV(RAND(),$C$11,0.10)))</f>
        <v/>
      </c>
      <c r="H302" s="32">
        <f>MAX(0.02,MIN(0.98,NORMINV(RAND(),$C$13,0.15)))</f>
        <v/>
      </c>
      <c r="I302" s="32">
        <f>MAX(0,NORMINV(RAND(),$C$14,0.033))</f>
        <v/>
      </c>
      <c r="J302" s="33">
        <f>($C$7*$C$8/365)*F302</f>
        <v/>
      </c>
      <c r="K302" s="33">
        <f>$C$7*G302*$C$12*H302</f>
        <v/>
      </c>
      <c r="L302" s="33">
        <f>$C$7*I302*$C$15</f>
        <v/>
      </c>
      <c r="M302" s="33">
        <f>J302-K302-L302</f>
        <v/>
      </c>
    </row>
    <row r="303">
      <c r="E303" s="20" t="n">
        <v>295</v>
      </c>
      <c r="F303" s="32">
        <f>MAX(0.03,MIN(0.18,NORMINV(RAND(),$C$9,$C$10)))</f>
        <v/>
      </c>
      <c r="G303" s="32">
        <f>MAX(0.02,MIN(0.9,NORMINV(RAND(),$C$11,0.10)))</f>
        <v/>
      </c>
      <c r="H303" s="32">
        <f>MAX(0.02,MIN(0.98,NORMINV(RAND(),$C$13,0.15)))</f>
        <v/>
      </c>
      <c r="I303" s="32">
        <f>MAX(0,NORMINV(RAND(),$C$14,0.033))</f>
        <v/>
      </c>
      <c r="J303" s="33">
        <f>($C$7*$C$8/365)*F303</f>
        <v/>
      </c>
      <c r="K303" s="33">
        <f>$C$7*G303*$C$12*H303</f>
        <v/>
      </c>
      <c r="L303" s="33">
        <f>$C$7*I303*$C$15</f>
        <v/>
      </c>
      <c r="M303" s="33">
        <f>J303-K303-L303</f>
        <v/>
      </c>
    </row>
    <row r="304">
      <c r="E304" s="20" t="n">
        <v>296</v>
      </c>
      <c r="F304" s="32">
        <f>MAX(0.03,MIN(0.18,NORMINV(RAND(),$C$9,$C$10)))</f>
        <v/>
      </c>
      <c r="G304" s="32">
        <f>MAX(0.02,MIN(0.9,NORMINV(RAND(),$C$11,0.10)))</f>
        <v/>
      </c>
      <c r="H304" s="32">
        <f>MAX(0.02,MIN(0.98,NORMINV(RAND(),$C$13,0.15)))</f>
        <v/>
      </c>
      <c r="I304" s="32">
        <f>MAX(0,NORMINV(RAND(),$C$14,0.033))</f>
        <v/>
      </c>
      <c r="J304" s="33">
        <f>($C$7*$C$8/365)*F304</f>
        <v/>
      </c>
      <c r="K304" s="33">
        <f>$C$7*G304*$C$12*H304</f>
        <v/>
      </c>
      <c r="L304" s="33">
        <f>$C$7*I304*$C$15</f>
        <v/>
      </c>
      <c r="M304" s="33">
        <f>J304-K304-L304</f>
        <v/>
      </c>
    </row>
    <row r="305">
      <c r="E305" s="20" t="n">
        <v>297</v>
      </c>
      <c r="F305" s="32">
        <f>MAX(0.03,MIN(0.18,NORMINV(RAND(),$C$9,$C$10)))</f>
        <v/>
      </c>
      <c r="G305" s="32">
        <f>MAX(0.02,MIN(0.9,NORMINV(RAND(),$C$11,0.10)))</f>
        <v/>
      </c>
      <c r="H305" s="32">
        <f>MAX(0.02,MIN(0.98,NORMINV(RAND(),$C$13,0.15)))</f>
        <v/>
      </c>
      <c r="I305" s="32">
        <f>MAX(0,NORMINV(RAND(),$C$14,0.033))</f>
        <v/>
      </c>
      <c r="J305" s="33">
        <f>($C$7*$C$8/365)*F305</f>
        <v/>
      </c>
      <c r="K305" s="33">
        <f>$C$7*G305*$C$12*H305</f>
        <v/>
      </c>
      <c r="L305" s="33">
        <f>$C$7*I305*$C$15</f>
        <v/>
      </c>
      <c r="M305" s="33">
        <f>J305-K305-L305</f>
        <v/>
      </c>
    </row>
    <row r="306">
      <c r="E306" s="20" t="n">
        <v>298</v>
      </c>
      <c r="F306" s="32">
        <f>MAX(0.03,MIN(0.18,NORMINV(RAND(),$C$9,$C$10)))</f>
        <v/>
      </c>
      <c r="G306" s="32">
        <f>MAX(0.02,MIN(0.9,NORMINV(RAND(),$C$11,0.10)))</f>
        <v/>
      </c>
      <c r="H306" s="32">
        <f>MAX(0.02,MIN(0.98,NORMINV(RAND(),$C$13,0.15)))</f>
        <v/>
      </c>
      <c r="I306" s="32">
        <f>MAX(0,NORMINV(RAND(),$C$14,0.033))</f>
        <v/>
      </c>
      <c r="J306" s="33">
        <f>($C$7*$C$8/365)*F306</f>
        <v/>
      </c>
      <c r="K306" s="33">
        <f>$C$7*G306*$C$12*H306</f>
        <v/>
      </c>
      <c r="L306" s="33">
        <f>$C$7*I306*$C$15</f>
        <v/>
      </c>
      <c r="M306" s="33">
        <f>J306-K306-L306</f>
        <v/>
      </c>
    </row>
    <row r="307">
      <c r="E307" s="20" t="n">
        <v>299</v>
      </c>
      <c r="F307" s="32">
        <f>MAX(0.03,MIN(0.18,NORMINV(RAND(),$C$9,$C$10)))</f>
        <v/>
      </c>
      <c r="G307" s="32">
        <f>MAX(0.02,MIN(0.9,NORMINV(RAND(),$C$11,0.10)))</f>
        <v/>
      </c>
      <c r="H307" s="32">
        <f>MAX(0.02,MIN(0.98,NORMINV(RAND(),$C$13,0.15)))</f>
        <v/>
      </c>
      <c r="I307" s="32">
        <f>MAX(0,NORMINV(RAND(),$C$14,0.033))</f>
        <v/>
      </c>
      <c r="J307" s="33">
        <f>($C$7*$C$8/365)*F307</f>
        <v/>
      </c>
      <c r="K307" s="33">
        <f>$C$7*G307*$C$12*H307</f>
        <v/>
      </c>
      <c r="L307" s="33">
        <f>$C$7*I307*$C$15</f>
        <v/>
      </c>
      <c r="M307" s="33">
        <f>J307-K307-L307</f>
        <v/>
      </c>
    </row>
    <row r="308">
      <c r="E308" s="20" t="n">
        <v>300</v>
      </c>
      <c r="F308" s="32">
        <f>MAX(0.03,MIN(0.18,NORMINV(RAND(),$C$9,$C$10)))</f>
        <v/>
      </c>
      <c r="G308" s="32">
        <f>MAX(0.02,MIN(0.9,NORMINV(RAND(),$C$11,0.10)))</f>
        <v/>
      </c>
      <c r="H308" s="32">
        <f>MAX(0.02,MIN(0.98,NORMINV(RAND(),$C$13,0.15)))</f>
        <v/>
      </c>
      <c r="I308" s="32">
        <f>MAX(0,NORMINV(RAND(),$C$14,0.033))</f>
        <v/>
      </c>
      <c r="J308" s="33">
        <f>($C$7*$C$8/365)*F308</f>
        <v/>
      </c>
      <c r="K308" s="33">
        <f>$C$7*G308*$C$12*H308</f>
        <v/>
      </c>
      <c r="L308" s="33">
        <f>$C$7*I308*$C$15</f>
        <v/>
      </c>
      <c r="M308" s="33">
        <f>J308-K308-L308</f>
        <v/>
      </c>
    </row>
    <row r="309">
      <c r="E309" s="20" t="n">
        <v>301</v>
      </c>
      <c r="F309" s="32">
        <f>MAX(0.03,MIN(0.18,NORMINV(RAND(),$C$9,$C$10)))</f>
        <v/>
      </c>
      <c r="G309" s="32">
        <f>MAX(0.02,MIN(0.9,NORMINV(RAND(),$C$11,0.10)))</f>
        <v/>
      </c>
      <c r="H309" s="32">
        <f>MAX(0.02,MIN(0.98,NORMINV(RAND(),$C$13,0.15)))</f>
        <v/>
      </c>
      <c r="I309" s="32">
        <f>MAX(0,NORMINV(RAND(),$C$14,0.033))</f>
        <v/>
      </c>
      <c r="J309" s="33">
        <f>($C$7*$C$8/365)*F309</f>
        <v/>
      </c>
      <c r="K309" s="33">
        <f>$C$7*G309*$C$12*H309</f>
        <v/>
      </c>
      <c r="L309" s="33">
        <f>$C$7*I309*$C$15</f>
        <v/>
      </c>
      <c r="M309" s="33">
        <f>J309-K309-L309</f>
        <v/>
      </c>
    </row>
    <row r="310">
      <c r="E310" s="20" t="n">
        <v>302</v>
      </c>
      <c r="F310" s="32">
        <f>MAX(0.03,MIN(0.18,NORMINV(RAND(),$C$9,$C$10)))</f>
        <v/>
      </c>
      <c r="G310" s="32">
        <f>MAX(0.02,MIN(0.9,NORMINV(RAND(),$C$11,0.10)))</f>
        <v/>
      </c>
      <c r="H310" s="32">
        <f>MAX(0.02,MIN(0.98,NORMINV(RAND(),$C$13,0.15)))</f>
        <v/>
      </c>
      <c r="I310" s="32">
        <f>MAX(0,NORMINV(RAND(),$C$14,0.033))</f>
        <v/>
      </c>
      <c r="J310" s="33">
        <f>($C$7*$C$8/365)*F310</f>
        <v/>
      </c>
      <c r="K310" s="33">
        <f>$C$7*G310*$C$12*H310</f>
        <v/>
      </c>
      <c r="L310" s="33">
        <f>$C$7*I310*$C$15</f>
        <v/>
      </c>
      <c r="M310" s="33">
        <f>J310-K310-L310</f>
        <v/>
      </c>
    </row>
    <row r="311">
      <c r="E311" s="20" t="n">
        <v>303</v>
      </c>
      <c r="F311" s="32">
        <f>MAX(0.03,MIN(0.18,NORMINV(RAND(),$C$9,$C$10)))</f>
        <v/>
      </c>
      <c r="G311" s="32">
        <f>MAX(0.02,MIN(0.9,NORMINV(RAND(),$C$11,0.10)))</f>
        <v/>
      </c>
      <c r="H311" s="32">
        <f>MAX(0.02,MIN(0.98,NORMINV(RAND(),$C$13,0.15)))</f>
        <v/>
      </c>
      <c r="I311" s="32">
        <f>MAX(0,NORMINV(RAND(),$C$14,0.033))</f>
        <v/>
      </c>
      <c r="J311" s="33">
        <f>($C$7*$C$8/365)*F311</f>
        <v/>
      </c>
      <c r="K311" s="33">
        <f>$C$7*G311*$C$12*H311</f>
        <v/>
      </c>
      <c r="L311" s="33">
        <f>$C$7*I311*$C$15</f>
        <v/>
      </c>
      <c r="M311" s="33">
        <f>J311-K311-L311</f>
        <v/>
      </c>
    </row>
    <row r="312">
      <c r="E312" s="20" t="n">
        <v>304</v>
      </c>
      <c r="F312" s="32">
        <f>MAX(0.03,MIN(0.18,NORMINV(RAND(),$C$9,$C$10)))</f>
        <v/>
      </c>
      <c r="G312" s="32">
        <f>MAX(0.02,MIN(0.9,NORMINV(RAND(),$C$11,0.10)))</f>
        <v/>
      </c>
      <c r="H312" s="32">
        <f>MAX(0.02,MIN(0.98,NORMINV(RAND(),$C$13,0.15)))</f>
        <v/>
      </c>
      <c r="I312" s="32">
        <f>MAX(0,NORMINV(RAND(),$C$14,0.033))</f>
        <v/>
      </c>
      <c r="J312" s="33">
        <f>($C$7*$C$8/365)*F312</f>
        <v/>
      </c>
      <c r="K312" s="33">
        <f>$C$7*G312*$C$12*H312</f>
        <v/>
      </c>
      <c r="L312" s="33">
        <f>$C$7*I312*$C$15</f>
        <v/>
      </c>
      <c r="M312" s="33">
        <f>J312-K312-L312</f>
        <v/>
      </c>
    </row>
    <row r="313">
      <c r="E313" s="20" t="n">
        <v>305</v>
      </c>
      <c r="F313" s="32">
        <f>MAX(0.03,MIN(0.18,NORMINV(RAND(),$C$9,$C$10)))</f>
        <v/>
      </c>
      <c r="G313" s="32">
        <f>MAX(0.02,MIN(0.9,NORMINV(RAND(),$C$11,0.10)))</f>
        <v/>
      </c>
      <c r="H313" s="32">
        <f>MAX(0.02,MIN(0.98,NORMINV(RAND(),$C$13,0.15)))</f>
        <v/>
      </c>
      <c r="I313" s="32">
        <f>MAX(0,NORMINV(RAND(),$C$14,0.033))</f>
        <v/>
      </c>
      <c r="J313" s="33">
        <f>($C$7*$C$8/365)*F313</f>
        <v/>
      </c>
      <c r="K313" s="33">
        <f>$C$7*G313*$C$12*H313</f>
        <v/>
      </c>
      <c r="L313" s="33">
        <f>$C$7*I313*$C$15</f>
        <v/>
      </c>
      <c r="M313" s="33">
        <f>J313-K313-L313</f>
        <v/>
      </c>
    </row>
    <row r="314">
      <c r="E314" s="20" t="n">
        <v>306</v>
      </c>
      <c r="F314" s="32">
        <f>MAX(0.03,MIN(0.18,NORMINV(RAND(),$C$9,$C$10)))</f>
        <v/>
      </c>
      <c r="G314" s="32">
        <f>MAX(0.02,MIN(0.9,NORMINV(RAND(),$C$11,0.10)))</f>
        <v/>
      </c>
      <c r="H314" s="32">
        <f>MAX(0.02,MIN(0.98,NORMINV(RAND(),$C$13,0.15)))</f>
        <v/>
      </c>
      <c r="I314" s="32">
        <f>MAX(0,NORMINV(RAND(),$C$14,0.033))</f>
        <v/>
      </c>
      <c r="J314" s="33">
        <f>($C$7*$C$8/365)*F314</f>
        <v/>
      </c>
      <c r="K314" s="33">
        <f>$C$7*G314*$C$12*H314</f>
        <v/>
      </c>
      <c r="L314" s="33">
        <f>$C$7*I314*$C$15</f>
        <v/>
      </c>
      <c r="M314" s="33">
        <f>J314-K314-L314</f>
        <v/>
      </c>
    </row>
    <row r="315">
      <c r="E315" s="20" t="n">
        <v>307</v>
      </c>
      <c r="F315" s="32">
        <f>MAX(0.03,MIN(0.18,NORMINV(RAND(),$C$9,$C$10)))</f>
        <v/>
      </c>
      <c r="G315" s="32">
        <f>MAX(0.02,MIN(0.9,NORMINV(RAND(),$C$11,0.10)))</f>
        <v/>
      </c>
      <c r="H315" s="32">
        <f>MAX(0.02,MIN(0.98,NORMINV(RAND(),$C$13,0.15)))</f>
        <v/>
      </c>
      <c r="I315" s="32">
        <f>MAX(0,NORMINV(RAND(),$C$14,0.033))</f>
        <v/>
      </c>
      <c r="J315" s="33">
        <f>($C$7*$C$8/365)*F315</f>
        <v/>
      </c>
      <c r="K315" s="33">
        <f>$C$7*G315*$C$12*H315</f>
        <v/>
      </c>
      <c r="L315" s="33">
        <f>$C$7*I315*$C$15</f>
        <v/>
      </c>
      <c r="M315" s="33">
        <f>J315-K315-L315</f>
        <v/>
      </c>
    </row>
    <row r="316">
      <c r="E316" s="20" t="n">
        <v>308</v>
      </c>
      <c r="F316" s="32">
        <f>MAX(0.03,MIN(0.18,NORMINV(RAND(),$C$9,$C$10)))</f>
        <v/>
      </c>
      <c r="G316" s="32">
        <f>MAX(0.02,MIN(0.9,NORMINV(RAND(),$C$11,0.10)))</f>
        <v/>
      </c>
      <c r="H316" s="32">
        <f>MAX(0.02,MIN(0.98,NORMINV(RAND(),$C$13,0.15)))</f>
        <v/>
      </c>
      <c r="I316" s="32">
        <f>MAX(0,NORMINV(RAND(),$C$14,0.033))</f>
        <v/>
      </c>
      <c r="J316" s="33">
        <f>($C$7*$C$8/365)*F316</f>
        <v/>
      </c>
      <c r="K316" s="33">
        <f>$C$7*G316*$C$12*H316</f>
        <v/>
      </c>
      <c r="L316" s="33">
        <f>$C$7*I316*$C$15</f>
        <v/>
      </c>
      <c r="M316" s="33">
        <f>J316-K316-L316</f>
        <v/>
      </c>
    </row>
    <row r="317">
      <c r="E317" s="20" t="n">
        <v>309</v>
      </c>
      <c r="F317" s="32">
        <f>MAX(0.03,MIN(0.18,NORMINV(RAND(),$C$9,$C$10)))</f>
        <v/>
      </c>
      <c r="G317" s="32">
        <f>MAX(0.02,MIN(0.9,NORMINV(RAND(),$C$11,0.10)))</f>
        <v/>
      </c>
      <c r="H317" s="32">
        <f>MAX(0.02,MIN(0.98,NORMINV(RAND(),$C$13,0.15)))</f>
        <v/>
      </c>
      <c r="I317" s="32">
        <f>MAX(0,NORMINV(RAND(),$C$14,0.033))</f>
        <v/>
      </c>
      <c r="J317" s="33">
        <f>($C$7*$C$8/365)*F317</f>
        <v/>
      </c>
      <c r="K317" s="33">
        <f>$C$7*G317*$C$12*H317</f>
        <v/>
      </c>
      <c r="L317" s="33">
        <f>$C$7*I317*$C$15</f>
        <v/>
      </c>
      <c r="M317" s="33">
        <f>J317-K317-L317</f>
        <v/>
      </c>
    </row>
    <row r="318">
      <c r="E318" s="20" t="n">
        <v>310</v>
      </c>
      <c r="F318" s="32">
        <f>MAX(0.03,MIN(0.18,NORMINV(RAND(),$C$9,$C$10)))</f>
        <v/>
      </c>
      <c r="G318" s="32">
        <f>MAX(0.02,MIN(0.9,NORMINV(RAND(),$C$11,0.10)))</f>
        <v/>
      </c>
      <c r="H318" s="32">
        <f>MAX(0.02,MIN(0.98,NORMINV(RAND(),$C$13,0.15)))</f>
        <v/>
      </c>
      <c r="I318" s="32">
        <f>MAX(0,NORMINV(RAND(),$C$14,0.033))</f>
        <v/>
      </c>
      <c r="J318" s="33">
        <f>($C$7*$C$8/365)*F318</f>
        <v/>
      </c>
      <c r="K318" s="33">
        <f>$C$7*G318*$C$12*H318</f>
        <v/>
      </c>
      <c r="L318" s="33">
        <f>$C$7*I318*$C$15</f>
        <v/>
      </c>
      <c r="M318" s="33">
        <f>J318-K318-L318</f>
        <v/>
      </c>
    </row>
    <row r="319">
      <c r="E319" s="20" t="n">
        <v>311</v>
      </c>
      <c r="F319" s="32">
        <f>MAX(0.03,MIN(0.18,NORMINV(RAND(),$C$9,$C$10)))</f>
        <v/>
      </c>
      <c r="G319" s="32">
        <f>MAX(0.02,MIN(0.9,NORMINV(RAND(),$C$11,0.10)))</f>
        <v/>
      </c>
      <c r="H319" s="32">
        <f>MAX(0.02,MIN(0.98,NORMINV(RAND(),$C$13,0.15)))</f>
        <v/>
      </c>
      <c r="I319" s="32">
        <f>MAX(0,NORMINV(RAND(),$C$14,0.033))</f>
        <v/>
      </c>
      <c r="J319" s="33">
        <f>($C$7*$C$8/365)*F319</f>
        <v/>
      </c>
      <c r="K319" s="33">
        <f>$C$7*G319*$C$12*H319</f>
        <v/>
      </c>
      <c r="L319" s="33">
        <f>$C$7*I319*$C$15</f>
        <v/>
      </c>
      <c r="M319" s="33">
        <f>J319-K319-L319</f>
        <v/>
      </c>
    </row>
    <row r="320">
      <c r="E320" s="20" t="n">
        <v>312</v>
      </c>
      <c r="F320" s="32">
        <f>MAX(0.03,MIN(0.18,NORMINV(RAND(),$C$9,$C$10)))</f>
        <v/>
      </c>
      <c r="G320" s="32">
        <f>MAX(0.02,MIN(0.9,NORMINV(RAND(),$C$11,0.10)))</f>
        <v/>
      </c>
      <c r="H320" s="32">
        <f>MAX(0.02,MIN(0.98,NORMINV(RAND(),$C$13,0.15)))</f>
        <v/>
      </c>
      <c r="I320" s="32">
        <f>MAX(0,NORMINV(RAND(),$C$14,0.033))</f>
        <v/>
      </c>
      <c r="J320" s="33">
        <f>($C$7*$C$8/365)*F320</f>
        <v/>
      </c>
      <c r="K320" s="33">
        <f>$C$7*G320*$C$12*H320</f>
        <v/>
      </c>
      <c r="L320" s="33">
        <f>$C$7*I320*$C$15</f>
        <v/>
      </c>
      <c r="M320" s="33">
        <f>J320-K320-L320</f>
        <v/>
      </c>
    </row>
    <row r="321">
      <c r="E321" s="20" t="n">
        <v>313</v>
      </c>
      <c r="F321" s="32">
        <f>MAX(0.03,MIN(0.18,NORMINV(RAND(),$C$9,$C$10)))</f>
        <v/>
      </c>
      <c r="G321" s="32">
        <f>MAX(0.02,MIN(0.9,NORMINV(RAND(),$C$11,0.10)))</f>
        <v/>
      </c>
      <c r="H321" s="32">
        <f>MAX(0.02,MIN(0.98,NORMINV(RAND(),$C$13,0.15)))</f>
        <v/>
      </c>
      <c r="I321" s="32">
        <f>MAX(0,NORMINV(RAND(),$C$14,0.033))</f>
        <v/>
      </c>
      <c r="J321" s="33">
        <f>($C$7*$C$8/365)*F321</f>
        <v/>
      </c>
      <c r="K321" s="33">
        <f>$C$7*G321*$C$12*H321</f>
        <v/>
      </c>
      <c r="L321" s="33">
        <f>$C$7*I321*$C$15</f>
        <v/>
      </c>
      <c r="M321" s="33">
        <f>J321-K321-L321</f>
        <v/>
      </c>
    </row>
    <row r="322">
      <c r="E322" s="20" t="n">
        <v>314</v>
      </c>
      <c r="F322" s="32">
        <f>MAX(0.03,MIN(0.18,NORMINV(RAND(),$C$9,$C$10)))</f>
        <v/>
      </c>
      <c r="G322" s="32">
        <f>MAX(0.02,MIN(0.9,NORMINV(RAND(),$C$11,0.10)))</f>
        <v/>
      </c>
      <c r="H322" s="32">
        <f>MAX(0.02,MIN(0.98,NORMINV(RAND(),$C$13,0.15)))</f>
        <v/>
      </c>
      <c r="I322" s="32">
        <f>MAX(0,NORMINV(RAND(),$C$14,0.033))</f>
        <v/>
      </c>
      <c r="J322" s="33">
        <f>($C$7*$C$8/365)*F322</f>
        <v/>
      </c>
      <c r="K322" s="33">
        <f>$C$7*G322*$C$12*H322</f>
        <v/>
      </c>
      <c r="L322" s="33">
        <f>$C$7*I322*$C$15</f>
        <v/>
      </c>
      <c r="M322" s="33">
        <f>J322-K322-L322</f>
        <v/>
      </c>
    </row>
    <row r="323">
      <c r="E323" s="20" t="n">
        <v>315</v>
      </c>
      <c r="F323" s="32">
        <f>MAX(0.03,MIN(0.18,NORMINV(RAND(),$C$9,$C$10)))</f>
        <v/>
      </c>
      <c r="G323" s="32">
        <f>MAX(0.02,MIN(0.9,NORMINV(RAND(),$C$11,0.10)))</f>
        <v/>
      </c>
      <c r="H323" s="32">
        <f>MAX(0.02,MIN(0.98,NORMINV(RAND(),$C$13,0.15)))</f>
        <v/>
      </c>
      <c r="I323" s="32">
        <f>MAX(0,NORMINV(RAND(),$C$14,0.033))</f>
        <v/>
      </c>
      <c r="J323" s="33">
        <f>($C$7*$C$8/365)*F323</f>
        <v/>
      </c>
      <c r="K323" s="33">
        <f>$C$7*G323*$C$12*H323</f>
        <v/>
      </c>
      <c r="L323" s="33">
        <f>$C$7*I323*$C$15</f>
        <v/>
      </c>
      <c r="M323" s="33">
        <f>J323-K323-L323</f>
        <v/>
      </c>
    </row>
    <row r="324">
      <c r="E324" s="20" t="n">
        <v>316</v>
      </c>
      <c r="F324" s="32">
        <f>MAX(0.03,MIN(0.18,NORMINV(RAND(),$C$9,$C$10)))</f>
        <v/>
      </c>
      <c r="G324" s="32">
        <f>MAX(0.02,MIN(0.9,NORMINV(RAND(),$C$11,0.10)))</f>
        <v/>
      </c>
      <c r="H324" s="32">
        <f>MAX(0.02,MIN(0.98,NORMINV(RAND(),$C$13,0.15)))</f>
        <v/>
      </c>
      <c r="I324" s="32">
        <f>MAX(0,NORMINV(RAND(),$C$14,0.033))</f>
        <v/>
      </c>
      <c r="J324" s="33">
        <f>($C$7*$C$8/365)*F324</f>
        <v/>
      </c>
      <c r="K324" s="33">
        <f>$C$7*G324*$C$12*H324</f>
        <v/>
      </c>
      <c r="L324" s="33">
        <f>$C$7*I324*$C$15</f>
        <v/>
      </c>
      <c r="M324" s="33">
        <f>J324-K324-L324</f>
        <v/>
      </c>
    </row>
    <row r="325">
      <c r="E325" s="20" t="n">
        <v>317</v>
      </c>
      <c r="F325" s="32">
        <f>MAX(0.03,MIN(0.18,NORMINV(RAND(),$C$9,$C$10)))</f>
        <v/>
      </c>
      <c r="G325" s="32">
        <f>MAX(0.02,MIN(0.9,NORMINV(RAND(),$C$11,0.10)))</f>
        <v/>
      </c>
      <c r="H325" s="32">
        <f>MAX(0.02,MIN(0.98,NORMINV(RAND(),$C$13,0.15)))</f>
        <v/>
      </c>
      <c r="I325" s="32">
        <f>MAX(0,NORMINV(RAND(),$C$14,0.033))</f>
        <v/>
      </c>
      <c r="J325" s="33">
        <f>($C$7*$C$8/365)*F325</f>
        <v/>
      </c>
      <c r="K325" s="33">
        <f>$C$7*G325*$C$12*H325</f>
        <v/>
      </c>
      <c r="L325" s="33">
        <f>$C$7*I325*$C$15</f>
        <v/>
      </c>
      <c r="M325" s="33">
        <f>J325-K325-L325</f>
        <v/>
      </c>
    </row>
    <row r="326">
      <c r="E326" s="20" t="n">
        <v>318</v>
      </c>
      <c r="F326" s="32">
        <f>MAX(0.03,MIN(0.18,NORMINV(RAND(),$C$9,$C$10)))</f>
        <v/>
      </c>
      <c r="G326" s="32">
        <f>MAX(0.02,MIN(0.9,NORMINV(RAND(),$C$11,0.10)))</f>
        <v/>
      </c>
      <c r="H326" s="32">
        <f>MAX(0.02,MIN(0.98,NORMINV(RAND(),$C$13,0.15)))</f>
        <v/>
      </c>
      <c r="I326" s="32">
        <f>MAX(0,NORMINV(RAND(),$C$14,0.033))</f>
        <v/>
      </c>
      <c r="J326" s="33">
        <f>($C$7*$C$8/365)*F326</f>
        <v/>
      </c>
      <c r="K326" s="33">
        <f>$C$7*G326*$C$12*H326</f>
        <v/>
      </c>
      <c r="L326" s="33">
        <f>$C$7*I326*$C$15</f>
        <v/>
      </c>
      <c r="M326" s="33">
        <f>J326-K326-L326</f>
        <v/>
      </c>
    </row>
    <row r="327">
      <c r="E327" s="20" t="n">
        <v>319</v>
      </c>
      <c r="F327" s="32">
        <f>MAX(0.03,MIN(0.18,NORMINV(RAND(),$C$9,$C$10)))</f>
        <v/>
      </c>
      <c r="G327" s="32">
        <f>MAX(0.02,MIN(0.9,NORMINV(RAND(),$C$11,0.10)))</f>
        <v/>
      </c>
      <c r="H327" s="32">
        <f>MAX(0.02,MIN(0.98,NORMINV(RAND(),$C$13,0.15)))</f>
        <v/>
      </c>
      <c r="I327" s="32">
        <f>MAX(0,NORMINV(RAND(),$C$14,0.033))</f>
        <v/>
      </c>
      <c r="J327" s="33">
        <f>($C$7*$C$8/365)*F327</f>
        <v/>
      </c>
      <c r="K327" s="33">
        <f>$C$7*G327*$C$12*H327</f>
        <v/>
      </c>
      <c r="L327" s="33">
        <f>$C$7*I327*$C$15</f>
        <v/>
      </c>
      <c r="M327" s="33">
        <f>J327-K327-L327</f>
        <v/>
      </c>
    </row>
    <row r="328">
      <c r="E328" s="20" t="n">
        <v>320</v>
      </c>
      <c r="F328" s="32">
        <f>MAX(0.03,MIN(0.18,NORMINV(RAND(),$C$9,$C$10)))</f>
        <v/>
      </c>
      <c r="G328" s="32">
        <f>MAX(0.02,MIN(0.9,NORMINV(RAND(),$C$11,0.10)))</f>
        <v/>
      </c>
      <c r="H328" s="32">
        <f>MAX(0.02,MIN(0.98,NORMINV(RAND(),$C$13,0.15)))</f>
        <v/>
      </c>
      <c r="I328" s="32">
        <f>MAX(0,NORMINV(RAND(),$C$14,0.033))</f>
        <v/>
      </c>
      <c r="J328" s="33">
        <f>($C$7*$C$8/365)*F328</f>
        <v/>
      </c>
      <c r="K328" s="33">
        <f>$C$7*G328*$C$12*H328</f>
        <v/>
      </c>
      <c r="L328" s="33">
        <f>$C$7*I328*$C$15</f>
        <v/>
      </c>
      <c r="M328" s="33">
        <f>J328-K328-L328</f>
        <v/>
      </c>
    </row>
    <row r="329">
      <c r="E329" s="20" t="n">
        <v>321</v>
      </c>
      <c r="F329" s="32">
        <f>MAX(0.03,MIN(0.18,NORMINV(RAND(),$C$9,$C$10)))</f>
        <v/>
      </c>
      <c r="G329" s="32">
        <f>MAX(0.02,MIN(0.9,NORMINV(RAND(),$C$11,0.10)))</f>
        <v/>
      </c>
      <c r="H329" s="32">
        <f>MAX(0.02,MIN(0.98,NORMINV(RAND(),$C$13,0.15)))</f>
        <v/>
      </c>
      <c r="I329" s="32">
        <f>MAX(0,NORMINV(RAND(),$C$14,0.033))</f>
        <v/>
      </c>
      <c r="J329" s="33">
        <f>($C$7*$C$8/365)*F329</f>
        <v/>
      </c>
      <c r="K329" s="33">
        <f>$C$7*G329*$C$12*H329</f>
        <v/>
      </c>
      <c r="L329" s="33">
        <f>$C$7*I329*$C$15</f>
        <v/>
      </c>
      <c r="M329" s="33">
        <f>J329-K329-L329</f>
        <v/>
      </c>
    </row>
    <row r="330">
      <c r="E330" s="20" t="n">
        <v>322</v>
      </c>
      <c r="F330" s="32">
        <f>MAX(0.03,MIN(0.18,NORMINV(RAND(),$C$9,$C$10)))</f>
        <v/>
      </c>
      <c r="G330" s="32">
        <f>MAX(0.02,MIN(0.9,NORMINV(RAND(),$C$11,0.10)))</f>
        <v/>
      </c>
      <c r="H330" s="32">
        <f>MAX(0.02,MIN(0.98,NORMINV(RAND(),$C$13,0.15)))</f>
        <v/>
      </c>
      <c r="I330" s="32">
        <f>MAX(0,NORMINV(RAND(),$C$14,0.033))</f>
        <v/>
      </c>
      <c r="J330" s="33">
        <f>($C$7*$C$8/365)*F330</f>
        <v/>
      </c>
      <c r="K330" s="33">
        <f>$C$7*G330*$C$12*H330</f>
        <v/>
      </c>
      <c r="L330" s="33">
        <f>$C$7*I330*$C$15</f>
        <v/>
      </c>
      <c r="M330" s="33">
        <f>J330-K330-L330</f>
        <v/>
      </c>
    </row>
    <row r="331">
      <c r="E331" s="20" t="n">
        <v>323</v>
      </c>
      <c r="F331" s="32">
        <f>MAX(0.03,MIN(0.18,NORMINV(RAND(),$C$9,$C$10)))</f>
        <v/>
      </c>
      <c r="G331" s="32">
        <f>MAX(0.02,MIN(0.9,NORMINV(RAND(),$C$11,0.10)))</f>
        <v/>
      </c>
      <c r="H331" s="32">
        <f>MAX(0.02,MIN(0.98,NORMINV(RAND(),$C$13,0.15)))</f>
        <v/>
      </c>
      <c r="I331" s="32">
        <f>MAX(0,NORMINV(RAND(),$C$14,0.033))</f>
        <v/>
      </c>
      <c r="J331" s="33">
        <f>($C$7*$C$8/365)*F331</f>
        <v/>
      </c>
      <c r="K331" s="33">
        <f>$C$7*G331*$C$12*H331</f>
        <v/>
      </c>
      <c r="L331" s="33">
        <f>$C$7*I331*$C$15</f>
        <v/>
      </c>
      <c r="M331" s="33">
        <f>J331-K331-L331</f>
        <v/>
      </c>
    </row>
    <row r="332">
      <c r="E332" s="20" t="n">
        <v>324</v>
      </c>
      <c r="F332" s="32">
        <f>MAX(0.03,MIN(0.18,NORMINV(RAND(),$C$9,$C$10)))</f>
        <v/>
      </c>
      <c r="G332" s="32">
        <f>MAX(0.02,MIN(0.9,NORMINV(RAND(),$C$11,0.10)))</f>
        <v/>
      </c>
      <c r="H332" s="32">
        <f>MAX(0.02,MIN(0.98,NORMINV(RAND(),$C$13,0.15)))</f>
        <v/>
      </c>
      <c r="I332" s="32">
        <f>MAX(0,NORMINV(RAND(),$C$14,0.033))</f>
        <v/>
      </c>
      <c r="J332" s="33">
        <f>($C$7*$C$8/365)*F332</f>
        <v/>
      </c>
      <c r="K332" s="33">
        <f>$C$7*G332*$C$12*H332</f>
        <v/>
      </c>
      <c r="L332" s="33">
        <f>$C$7*I332*$C$15</f>
        <v/>
      </c>
      <c r="M332" s="33">
        <f>J332-K332-L332</f>
        <v/>
      </c>
    </row>
    <row r="333">
      <c r="E333" s="20" t="n">
        <v>325</v>
      </c>
      <c r="F333" s="32">
        <f>MAX(0.03,MIN(0.18,NORMINV(RAND(),$C$9,$C$10)))</f>
        <v/>
      </c>
      <c r="G333" s="32">
        <f>MAX(0.02,MIN(0.9,NORMINV(RAND(),$C$11,0.10)))</f>
        <v/>
      </c>
      <c r="H333" s="32">
        <f>MAX(0.02,MIN(0.98,NORMINV(RAND(),$C$13,0.15)))</f>
        <v/>
      </c>
      <c r="I333" s="32">
        <f>MAX(0,NORMINV(RAND(),$C$14,0.033))</f>
        <v/>
      </c>
      <c r="J333" s="33">
        <f>($C$7*$C$8/365)*F333</f>
        <v/>
      </c>
      <c r="K333" s="33">
        <f>$C$7*G333*$C$12*H333</f>
        <v/>
      </c>
      <c r="L333" s="33">
        <f>$C$7*I333*$C$15</f>
        <v/>
      </c>
      <c r="M333" s="33">
        <f>J333-K333-L333</f>
        <v/>
      </c>
    </row>
    <row r="334">
      <c r="E334" s="20" t="n">
        <v>326</v>
      </c>
      <c r="F334" s="32">
        <f>MAX(0.03,MIN(0.18,NORMINV(RAND(),$C$9,$C$10)))</f>
        <v/>
      </c>
      <c r="G334" s="32">
        <f>MAX(0.02,MIN(0.9,NORMINV(RAND(),$C$11,0.10)))</f>
        <v/>
      </c>
      <c r="H334" s="32">
        <f>MAX(0.02,MIN(0.98,NORMINV(RAND(),$C$13,0.15)))</f>
        <v/>
      </c>
      <c r="I334" s="32">
        <f>MAX(0,NORMINV(RAND(),$C$14,0.033))</f>
        <v/>
      </c>
      <c r="J334" s="33">
        <f>($C$7*$C$8/365)*F334</f>
        <v/>
      </c>
      <c r="K334" s="33">
        <f>$C$7*G334*$C$12*H334</f>
        <v/>
      </c>
      <c r="L334" s="33">
        <f>$C$7*I334*$C$15</f>
        <v/>
      </c>
      <c r="M334" s="33">
        <f>J334-K334-L334</f>
        <v/>
      </c>
    </row>
    <row r="335">
      <c r="E335" s="20" t="n">
        <v>327</v>
      </c>
      <c r="F335" s="32">
        <f>MAX(0.03,MIN(0.18,NORMINV(RAND(),$C$9,$C$10)))</f>
        <v/>
      </c>
      <c r="G335" s="32">
        <f>MAX(0.02,MIN(0.9,NORMINV(RAND(),$C$11,0.10)))</f>
        <v/>
      </c>
      <c r="H335" s="32">
        <f>MAX(0.02,MIN(0.98,NORMINV(RAND(),$C$13,0.15)))</f>
        <v/>
      </c>
      <c r="I335" s="32">
        <f>MAX(0,NORMINV(RAND(),$C$14,0.033))</f>
        <v/>
      </c>
      <c r="J335" s="33">
        <f>($C$7*$C$8/365)*F335</f>
        <v/>
      </c>
      <c r="K335" s="33">
        <f>$C$7*G335*$C$12*H335</f>
        <v/>
      </c>
      <c r="L335" s="33">
        <f>$C$7*I335*$C$15</f>
        <v/>
      </c>
      <c r="M335" s="33">
        <f>J335-K335-L335</f>
        <v/>
      </c>
    </row>
    <row r="336">
      <c r="E336" s="20" t="n">
        <v>328</v>
      </c>
      <c r="F336" s="32">
        <f>MAX(0.03,MIN(0.18,NORMINV(RAND(),$C$9,$C$10)))</f>
        <v/>
      </c>
      <c r="G336" s="32">
        <f>MAX(0.02,MIN(0.9,NORMINV(RAND(),$C$11,0.10)))</f>
        <v/>
      </c>
      <c r="H336" s="32">
        <f>MAX(0.02,MIN(0.98,NORMINV(RAND(),$C$13,0.15)))</f>
        <v/>
      </c>
      <c r="I336" s="32">
        <f>MAX(0,NORMINV(RAND(),$C$14,0.033))</f>
        <v/>
      </c>
      <c r="J336" s="33">
        <f>($C$7*$C$8/365)*F336</f>
        <v/>
      </c>
      <c r="K336" s="33">
        <f>$C$7*G336*$C$12*H336</f>
        <v/>
      </c>
      <c r="L336" s="33">
        <f>$C$7*I336*$C$15</f>
        <v/>
      </c>
      <c r="M336" s="33">
        <f>J336-K336-L336</f>
        <v/>
      </c>
    </row>
    <row r="337">
      <c r="E337" s="20" t="n">
        <v>329</v>
      </c>
      <c r="F337" s="32">
        <f>MAX(0.03,MIN(0.18,NORMINV(RAND(),$C$9,$C$10)))</f>
        <v/>
      </c>
      <c r="G337" s="32">
        <f>MAX(0.02,MIN(0.9,NORMINV(RAND(),$C$11,0.10)))</f>
        <v/>
      </c>
      <c r="H337" s="32">
        <f>MAX(0.02,MIN(0.98,NORMINV(RAND(),$C$13,0.15)))</f>
        <v/>
      </c>
      <c r="I337" s="32">
        <f>MAX(0,NORMINV(RAND(),$C$14,0.033))</f>
        <v/>
      </c>
      <c r="J337" s="33">
        <f>($C$7*$C$8/365)*F337</f>
        <v/>
      </c>
      <c r="K337" s="33">
        <f>$C$7*G337*$C$12*H337</f>
        <v/>
      </c>
      <c r="L337" s="33">
        <f>$C$7*I337*$C$15</f>
        <v/>
      </c>
      <c r="M337" s="33">
        <f>J337-K337-L337</f>
        <v/>
      </c>
    </row>
    <row r="338">
      <c r="E338" s="20" t="n">
        <v>330</v>
      </c>
      <c r="F338" s="32">
        <f>MAX(0.03,MIN(0.18,NORMINV(RAND(),$C$9,$C$10)))</f>
        <v/>
      </c>
      <c r="G338" s="32">
        <f>MAX(0.02,MIN(0.9,NORMINV(RAND(),$C$11,0.10)))</f>
        <v/>
      </c>
      <c r="H338" s="32">
        <f>MAX(0.02,MIN(0.98,NORMINV(RAND(),$C$13,0.15)))</f>
        <v/>
      </c>
      <c r="I338" s="32">
        <f>MAX(0,NORMINV(RAND(),$C$14,0.033))</f>
        <v/>
      </c>
      <c r="J338" s="33">
        <f>($C$7*$C$8/365)*F338</f>
        <v/>
      </c>
      <c r="K338" s="33">
        <f>$C$7*G338*$C$12*H338</f>
        <v/>
      </c>
      <c r="L338" s="33">
        <f>$C$7*I338*$C$15</f>
        <v/>
      </c>
      <c r="M338" s="33">
        <f>J338-K338-L338</f>
        <v/>
      </c>
    </row>
    <row r="339">
      <c r="E339" s="20" t="n">
        <v>331</v>
      </c>
      <c r="F339" s="32">
        <f>MAX(0.03,MIN(0.18,NORMINV(RAND(),$C$9,$C$10)))</f>
        <v/>
      </c>
      <c r="G339" s="32">
        <f>MAX(0.02,MIN(0.9,NORMINV(RAND(),$C$11,0.10)))</f>
        <v/>
      </c>
      <c r="H339" s="32">
        <f>MAX(0.02,MIN(0.98,NORMINV(RAND(),$C$13,0.15)))</f>
        <v/>
      </c>
      <c r="I339" s="32">
        <f>MAX(0,NORMINV(RAND(),$C$14,0.033))</f>
        <v/>
      </c>
      <c r="J339" s="33">
        <f>($C$7*$C$8/365)*F339</f>
        <v/>
      </c>
      <c r="K339" s="33">
        <f>$C$7*G339*$C$12*H339</f>
        <v/>
      </c>
      <c r="L339" s="33">
        <f>$C$7*I339*$C$15</f>
        <v/>
      </c>
      <c r="M339" s="33">
        <f>J339-K339-L339</f>
        <v/>
      </c>
    </row>
    <row r="340">
      <c r="E340" s="20" t="n">
        <v>332</v>
      </c>
      <c r="F340" s="32">
        <f>MAX(0.03,MIN(0.18,NORMINV(RAND(),$C$9,$C$10)))</f>
        <v/>
      </c>
      <c r="G340" s="32">
        <f>MAX(0.02,MIN(0.9,NORMINV(RAND(),$C$11,0.10)))</f>
        <v/>
      </c>
      <c r="H340" s="32">
        <f>MAX(0.02,MIN(0.98,NORMINV(RAND(),$C$13,0.15)))</f>
        <v/>
      </c>
      <c r="I340" s="32">
        <f>MAX(0,NORMINV(RAND(),$C$14,0.033))</f>
        <v/>
      </c>
      <c r="J340" s="33">
        <f>($C$7*$C$8/365)*F340</f>
        <v/>
      </c>
      <c r="K340" s="33">
        <f>$C$7*G340*$C$12*H340</f>
        <v/>
      </c>
      <c r="L340" s="33">
        <f>$C$7*I340*$C$15</f>
        <v/>
      </c>
      <c r="M340" s="33">
        <f>J340-K340-L340</f>
        <v/>
      </c>
    </row>
    <row r="341">
      <c r="E341" s="20" t="n">
        <v>333</v>
      </c>
      <c r="F341" s="32">
        <f>MAX(0.03,MIN(0.18,NORMINV(RAND(),$C$9,$C$10)))</f>
        <v/>
      </c>
      <c r="G341" s="32">
        <f>MAX(0.02,MIN(0.9,NORMINV(RAND(),$C$11,0.10)))</f>
        <v/>
      </c>
      <c r="H341" s="32">
        <f>MAX(0.02,MIN(0.98,NORMINV(RAND(),$C$13,0.15)))</f>
        <v/>
      </c>
      <c r="I341" s="32">
        <f>MAX(0,NORMINV(RAND(),$C$14,0.033))</f>
        <v/>
      </c>
      <c r="J341" s="33">
        <f>($C$7*$C$8/365)*F341</f>
        <v/>
      </c>
      <c r="K341" s="33">
        <f>$C$7*G341*$C$12*H341</f>
        <v/>
      </c>
      <c r="L341" s="33">
        <f>$C$7*I341*$C$15</f>
        <v/>
      </c>
      <c r="M341" s="33">
        <f>J341-K341-L341</f>
        <v/>
      </c>
    </row>
    <row r="342">
      <c r="E342" s="20" t="n">
        <v>334</v>
      </c>
      <c r="F342" s="32">
        <f>MAX(0.03,MIN(0.18,NORMINV(RAND(),$C$9,$C$10)))</f>
        <v/>
      </c>
      <c r="G342" s="32">
        <f>MAX(0.02,MIN(0.9,NORMINV(RAND(),$C$11,0.10)))</f>
        <v/>
      </c>
      <c r="H342" s="32">
        <f>MAX(0.02,MIN(0.98,NORMINV(RAND(),$C$13,0.15)))</f>
        <v/>
      </c>
      <c r="I342" s="32">
        <f>MAX(0,NORMINV(RAND(),$C$14,0.033))</f>
        <v/>
      </c>
      <c r="J342" s="33">
        <f>($C$7*$C$8/365)*F342</f>
        <v/>
      </c>
      <c r="K342" s="33">
        <f>$C$7*G342*$C$12*H342</f>
        <v/>
      </c>
      <c r="L342" s="33">
        <f>$C$7*I342*$C$15</f>
        <v/>
      </c>
      <c r="M342" s="33">
        <f>J342-K342-L342</f>
        <v/>
      </c>
    </row>
    <row r="343">
      <c r="E343" s="20" t="n">
        <v>335</v>
      </c>
      <c r="F343" s="32">
        <f>MAX(0.03,MIN(0.18,NORMINV(RAND(),$C$9,$C$10)))</f>
        <v/>
      </c>
      <c r="G343" s="32">
        <f>MAX(0.02,MIN(0.9,NORMINV(RAND(),$C$11,0.10)))</f>
        <v/>
      </c>
      <c r="H343" s="32">
        <f>MAX(0.02,MIN(0.98,NORMINV(RAND(),$C$13,0.15)))</f>
        <v/>
      </c>
      <c r="I343" s="32">
        <f>MAX(0,NORMINV(RAND(),$C$14,0.033))</f>
        <v/>
      </c>
      <c r="J343" s="33">
        <f>($C$7*$C$8/365)*F343</f>
        <v/>
      </c>
      <c r="K343" s="33">
        <f>$C$7*G343*$C$12*H343</f>
        <v/>
      </c>
      <c r="L343" s="33">
        <f>$C$7*I343*$C$15</f>
        <v/>
      </c>
      <c r="M343" s="33">
        <f>J343-K343-L343</f>
        <v/>
      </c>
    </row>
    <row r="344">
      <c r="E344" s="20" t="n">
        <v>336</v>
      </c>
      <c r="F344" s="32">
        <f>MAX(0.03,MIN(0.18,NORMINV(RAND(),$C$9,$C$10)))</f>
        <v/>
      </c>
      <c r="G344" s="32">
        <f>MAX(0.02,MIN(0.9,NORMINV(RAND(),$C$11,0.10)))</f>
        <v/>
      </c>
      <c r="H344" s="32">
        <f>MAX(0.02,MIN(0.98,NORMINV(RAND(),$C$13,0.15)))</f>
        <v/>
      </c>
      <c r="I344" s="32">
        <f>MAX(0,NORMINV(RAND(),$C$14,0.033))</f>
        <v/>
      </c>
      <c r="J344" s="33">
        <f>($C$7*$C$8/365)*F344</f>
        <v/>
      </c>
      <c r="K344" s="33">
        <f>$C$7*G344*$C$12*H344</f>
        <v/>
      </c>
      <c r="L344" s="33">
        <f>$C$7*I344*$C$15</f>
        <v/>
      </c>
      <c r="M344" s="33">
        <f>J344-K344-L344</f>
        <v/>
      </c>
    </row>
    <row r="345">
      <c r="E345" s="20" t="n">
        <v>337</v>
      </c>
      <c r="F345" s="32">
        <f>MAX(0.03,MIN(0.18,NORMINV(RAND(),$C$9,$C$10)))</f>
        <v/>
      </c>
      <c r="G345" s="32">
        <f>MAX(0.02,MIN(0.9,NORMINV(RAND(),$C$11,0.10)))</f>
        <v/>
      </c>
      <c r="H345" s="32">
        <f>MAX(0.02,MIN(0.98,NORMINV(RAND(),$C$13,0.15)))</f>
        <v/>
      </c>
      <c r="I345" s="32">
        <f>MAX(0,NORMINV(RAND(),$C$14,0.033))</f>
        <v/>
      </c>
      <c r="J345" s="33">
        <f>($C$7*$C$8/365)*F345</f>
        <v/>
      </c>
      <c r="K345" s="33">
        <f>$C$7*G345*$C$12*H345</f>
        <v/>
      </c>
      <c r="L345" s="33">
        <f>$C$7*I345*$C$15</f>
        <v/>
      </c>
      <c r="M345" s="33">
        <f>J345-K345-L345</f>
        <v/>
      </c>
    </row>
    <row r="346">
      <c r="E346" s="20" t="n">
        <v>338</v>
      </c>
      <c r="F346" s="32">
        <f>MAX(0.03,MIN(0.18,NORMINV(RAND(),$C$9,$C$10)))</f>
        <v/>
      </c>
      <c r="G346" s="32">
        <f>MAX(0.02,MIN(0.9,NORMINV(RAND(),$C$11,0.10)))</f>
        <v/>
      </c>
      <c r="H346" s="32">
        <f>MAX(0.02,MIN(0.98,NORMINV(RAND(),$C$13,0.15)))</f>
        <v/>
      </c>
      <c r="I346" s="32">
        <f>MAX(0,NORMINV(RAND(),$C$14,0.033))</f>
        <v/>
      </c>
      <c r="J346" s="33">
        <f>($C$7*$C$8/365)*F346</f>
        <v/>
      </c>
      <c r="K346" s="33">
        <f>$C$7*G346*$C$12*H346</f>
        <v/>
      </c>
      <c r="L346" s="33">
        <f>$C$7*I346*$C$15</f>
        <v/>
      </c>
      <c r="M346" s="33">
        <f>J346-K346-L346</f>
        <v/>
      </c>
    </row>
    <row r="347">
      <c r="E347" s="20" t="n">
        <v>339</v>
      </c>
      <c r="F347" s="32">
        <f>MAX(0.03,MIN(0.18,NORMINV(RAND(),$C$9,$C$10)))</f>
        <v/>
      </c>
      <c r="G347" s="32">
        <f>MAX(0.02,MIN(0.9,NORMINV(RAND(),$C$11,0.10)))</f>
        <v/>
      </c>
      <c r="H347" s="32">
        <f>MAX(0.02,MIN(0.98,NORMINV(RAND(),$C$13,0.15)))</f>
        <v/>
      </c>
      <c r="I347" s="32">
        <f>MAX(0,NORMINV(RAND(),$C$14,0.033))</f>
        <v/>
      </c>
      <c r="J347" s="33">
        <f>($C$7*$C$8/365)*F347</f>
        <v/>
      </c>
      <c r="K347" s="33">
        <f>$C$7*G347*$C$12*H347</f>
        <v/>
      </c>
      <c r="L347" s="33">
        <f>$C$7*I347*$C$15</f>
        <v/>
      </c>
      <c r="M347" s="33">
        <f>J347-K347-L347</f>
        <v/>
      </c>
    </row>
    <row r="348">
      <c r="E348" s="20" t="n">
        <v>340</v>
      </c>
      <c r="F348" s="32">
        <f>MAX(0.03,MIN(0.18,NORMINV(RAND(),$C$9,$C$10)))</f>
        <v/>
      </c>
      <c r="G348" s="32">
        <f>MAX(0.02,MIN(0.9,NORMINV(RAND(),$C$11,0.10)))</f>
        <v/>
      </c>
      <c r="H348" s="32">
        <f>MAX(0.02,MIN(0.98,NORMINV(RAND(),$C$13,0.15)))</f>
        <v/>
      </c>
      <c r="I348" s="32">
        <f>MAX(0,NORMINV(RAND(),$C$14,0.033))</f>
        <v/>
      </c>
      <c r="J348" s="33">
        <f>($C$7*$C$8/365)*F348</f>
        <v/>
      </c>
      <c r="K348" s="33">
        <f>$C$7*G348*$C$12*H348</f>
        <v/>
      </c>
      <c r="L348" s="33">
        <f>$C$7*I348*$C$15</f>
        <v/>
      </c>
      <c r="M348" s="33">
        <f>J348-K348-L348</f>
        <v/>
      </c>
    </row>
    <row r="349">
      <c r="E349" s="20" t="n">
        <v>341</v>
      </c>
      <c r="F349" s="32">
        <f>MAX(0.03,MIN(0.18,NORMINV(RAND(),$C$9,$C$10)))</f>
        <v/>
      </c>
      <c r="G349" s="32">
        <f>MAX(0.02,MIN(0.9,NORMINV(RAND(),$C$11,0.10)))</f>
        <v/>
      </c>
      <c r="H349" s="32">
        <f>MAX(0.02,MIN(0.98,NORMINV(RAND(),$C$13,0.15)))</f>
        <v/>
      </c>
      <c r="I349" s="32">
        <f>MAX(0,NORMINV(RAND(),$C$14,0.033))</f>
        <v/>
      </c>
      <c r="J349" s="33">
        <f>($C$7*$C$8/365)*F349</f>
        <v/>
      </c>
      <c r="K349" s="33">
        <f>$C$7*G349*$C$12*H349</f>
        <v/>
      </c>
      <c r="L349" s="33">
        <f>$C$7*I349*$C$15</f>
        <v/>
      </c>
      <c r="M349" s="33">
        <f>J349-K349-L349</f>
        <v/>
      </c>
    </row>
    <row r="350">
      <c r="E350" s="20" t="n">
        <v>342</v>
      </c>
      <c r="F350" s="32">
        <f>MAX(0.03,MIN(0.18,NORMINV(RAND(),$C$9,$C$10)))</f>
        <v/>
      </c>
      <c r="G350" s="32">
        <f>MAX(0.02,MIN(0.9,NORMINV(RAND(),$C$11,0.10)))</f>
        <v/>
      </c>
      <c r="H350" s="32">
        <f>MAX(0.02,MIN(0.98,NORMINV(RAND(),$C$13,0.15)))</f>
        <v/>
      </c>
      <c r="I350" s="32">
        <f>MAX(0,NORMINV(RAND(),$C$14,0.033))</f>
        <v/>
      </c>
      <c r="J350" s="33">
        <f>($C$7*$C$8/365)*F350</f>
        <v/>
      </c>
      <c r="K350" s="33">
        <f>$C$7*G350*$C$12*H350</f>
        <v/>
      </c>
      <c r="L350" s="33">
        <f>$C$7*I350*$C$15</f>
        <v/>
      </c>
      <c r="M350" s="33">
        <f>J350-K350-L350</f>
        <v/>
      </c>
    </row>
    <row r="351">
      <c r="E351" s="20" t="n">
        <v>343</v>
      </c>
      <c r="F351" s="32">
        <f>MAX(0.03,MIN(0.18,NORMINV(RAND(),$C$9,$C$10)))</f>
        <v/>
      </c>
      <c r="G351" s="32">
        <f>MAX(0.02,MIN(0.9,NORMINV(RAND(),$C$11,0.10)))</f>
        <v/>
      </c>
      <c r="H351" s="32">
        <f>MAX(0.02,MIN(0.98,NORMINV(RAND(),$C$13,0.15)))</f>
        <v/>
      </c>
      <c r="I351" s="32">
        <f>MAX(0,NORMINV(RAND(),$C$14,0.033))</f>
        <v/>
      </c>
      <c r="J351" s="33">
        <f>($C$7*$C$8/365)*F351</f>
        <v/>
      </c>
      <c r="K351" s="33">
        <f>$C$7*G351*$C$12*H351</f>
        <v/>
      </c>
      <c r="L351" s="33">
        <f>$C$7*I351*$C$15</f>
        <v/>
      </c>
      <c r="M351" s="33">
        <f>J351-K351-L351</f>
        <v/>
      </c>
    </row>
    <row r="352">
      <c r="E352" s="20" t="n">
        <v>344</v>
      </c>
      <c r="F352" s="32">
        <f>MAX(0.03,MIN(0.18,NORMINV(RAND(),$C$9,$C$10)))</f>
        <v/>
      </c>
      <c r="G352" s="32">
        <f>MAX(0.02,MIN(0.9,NORMINV(RAND(),$C$11,0.10)))</f>
        <v/>
      </c>
      <c r="H352" s="32">
        <f>MAX(0.02,MIN(0.98,NORMINV(RAND(),$C$13,0.15)))</f>
        <v/>
      </c>
      <c r="I352" s="32">
        <f>MAX(0,NORMINV(RAND(),$C$14,0.033))</f>
        <v/>
      </c>
      <c r="J352" s="33">
        <f>($C$7*$C$8/365)*F352</f>
        <v/>
      </c>
      <c r="K352" s="33">
        <f>$C$7*G352*$C$12*H352</f>
        <v/>
      </c>
      <c r="L352" s="33">
        <f>$C$7*I352*$C$15</f>
        <v/>
      </c>
      <c r="M352" s="33">
        <f>J352-K352-L352</f>
        <v/>
      </c>
    </row>
    <row r="353">
      <c r="E353" s="20" t="n">
        <v>345</v>
      </c>
      <c r="F353" s="32">
        <f>MAX(0.03,MIN(0.18,NORMINV(RAND(),$C$9,$C$10)))</f>
        <v/>
      </c>
      <c r="G353" s="32">
        <f>MAX(0.02,MIN(0.9,NORMINV(RAND(),$C$11,0.10)))</f>
        <v/>
      </c>
      <c r="H353" s="32">
        <f>MAX(0.02,MIN(0.98,NORMINV(RAND(),$C$13,0.15)))</f>
        <v/>
      </c>
      <c r="I353" s="32">
        <f>MAX(0,NORMINV(RAND(),$C$14,0.033))</f>
        <v/>
      </c>
      <c r="J353" s="33">
        <f>($C$7*$C$8/365)*F353</f>
        <v/>
      </c>
      <c r="K353" s="33">
        <f>$C$7*G353*$C$12*H353</f>
        <v/>
      </c>
      <c r="L353" s="33">
        <f>$C$7*I353*$C$15</f>
        <v/>
      </c>
      <c r="M353" s="33">
        <f>J353-K353-L353</f>
        <v/>
      </c>
    </row>
    <row r="354">
      <c r="E354" s="20" t="n">
        <v>346</v>
      </c>
      <c r="F354" s="32">
        <f>MAX(0.03,MIN(0.18,NORMINV(RAND(),$C$9,$C$10)))</f>
        <v/>
      </c>
      <c r="G354" s="32">
        <f>MAX(0.02,MIN(0.9,NORMINV(RAND(),$C$11,0.10)))</f>
        <v/>
      </c>
      <c r="H354" s="32">
        <f>MAX(0.02,MIN(0.98,NORMINV(RAND(),$C$13,0.15)))</f>
        <v/>
      </c>
      <c r="I354" s="32">
        <f>MAX(0,NORMINV(RAND(),$C$14,0.033))</f>
        <v/>
      </c>
      <c r="J354" s="33">
        <f>($C$7*$C$8/365)*F354</f>
        <v/>
      </c>
      <c r="K354" s="33">
        <f>$C$7*G354*$C$12*H354</f>
        <v/>
      </c>
      <c r="L354" s="33">
        <f>$C$7*I354*$C$15</f>
        <v/>
      </c>
      <c r="M354" s="33">
        <f>J354-K354-L354</f>
        <v/>
      </c>
    </row>
    <row r="355">
      <c r="E355" s="20" t="n">
        <v>347</v>
      </c>
      <c r="F355" s="32">
        <f>MAX(0.03,MIN(0.18,NORMINV(RAND(),$C$9,$C$10)))</f>
        <v/>
      </c>
      <c r="G355" s="32">
        <f>MAX(0.02,MIN(0.9,NORMINV(RAND(),$C$11,0.10)))</f>
        <v/>
      </c>
      <c r="H355" s="32">
        <f>MAX(0.02,MIN(0.98,NORMINV(RAND(),$C$13,0.15)))</f>
        <v/>
      </c>
      <c r="I355" s="32">
        <f>MAX(0,NORMINV(RAND(),$C$14,0.033))</f>
        <v/>
      </c>
      <c r="J355" s="33">
        <f>($C$7*$C$8/365)*F355</f>
        <v/>
      </c>
      <c r="K355" s="33">
        <f>$C$7*G355*$C$12*H355</f>
        <v/>
      </c>
      <c r="L355" s="33">
        <f>$C$7*I355*$C$15</f>
        <v/>
      </c>
      <c r="M355" s="33">
        <f>J355-K355-L355</f>
        <v/>
      </c>
    </row>
    <row r="356">
      <c r="E356" s="20" t="n">
        <v>348</v>
      </c>
      <c r="F356" s="32">
        <f>MAX(0.03,MIN(0.18,NORMINV(RAND(),$C$9,$C$10)))</f>
        <v/>
      </c>
      <c r="G356" s="32">
        <f>MAX(0.02,MIN(0.9,NORMINV(RAND(),$C$11,0.10)))</f>
        <v/>
      </c>
      <c r="H356" s="32">
        <f>MAX(0.02,MIN(0.98,NORMINV(RAND(),$C$13,0.15)))</f>
        <v/>
      </c>
      <c r="I356" s="32">
        <f>MAX(0,NORMINV(RAND(),$C$14,0.033))</f>
        <v/>
      </c>
      <c r="J356" s="33">
        <f>($C$7*$C$8/365)*F356</f>
        <v/>
      </c>
      <c r="K356" s="33">
        <f>$C$7*G356*$C$12*H356</f>
        <v/>
      </c>
      <c r="L356" s="33">
        <f>$C$7*I356*$C$15</f>
        <v/>
      </c>
      <c r="M356" s="33">
        <f>J356-K356-L356</f>
        <v/>
      </c>
    </row>
    <row r="357">
      <c r="E357" s="20" t="n">
        <v>349</v>
      </c>
      <c r="F357" s="32">
        <f>MAX(0.03,MIN(0.18,NORMINV(RAND(),$C$9,$C$10)))</f>
        <v/>
      </c>
      <c r="G357" s="32">
        <f>MAX(0.02,MIN(0.9,NORMINV(RAND(),$C$11,0.10)))</f>
        <v/>
      </c>
      <c r="H357" s="32">
        <f>MAX(0.02,MIN(0.98,NORMINV(RAND(),$C$13,0.15)))</f>
        <v/>
      </c>
      <c r="I357" s="32">
        <f>MAX(0,NORMINV(RAND(),$C$14,0.033))</f>
        <v/>
      </c>
      <c r="J357" s="33">
        <f>($C$7*$C$8/365)*F357</f>
        <v/>
      </c>
      <c r="K357" s="33">
        <f>$C$7*G357*$C$12*H357</f>
        <v/>
      </c>
      <c r="L357" s="33">
        <f>$C$7*I357*$C$15</f>
        <v/>
      </c>
      <c r="M357" s="33">
        <f>J357-K357-L357</f>
        <v/>
      </c>
    </row>
    <row r="358">
      <c r="E358" s="20" t="n">
        <v>350</v>
      </c>
      <c r="F358" s="32">
        <f>MAX(0.03,MIN(0.18,NORMINV(RAND(),$C$9,$C$10)))</f>
        <v/>
      </c>
      <c r="G358" s="32">
        <f>MAX(0.02,MIN(0.9,NORMINV(RAND(),$C$11,0.10)))</f>
        <v/>
      </c>
      <c r="H358" s="32">
        <f>MAX(0.02,MIN(0.98,NORMINV(RAND(),$C$13,0.15)))</f>
        <v/>
      </c>
      <c r="I358" s="32">
        <f>MAX(0,NORMINV(RAND(),$C$14,0.033))</f>
        <v/>
      </c>
      <c r="J358" s="33">
        <f>($C$7*$C$8/365)*F358</f>
        <v/>
      </c>
      <c r="K358" s="33">
        <f>$C$7*G358*$C$12*H358</f>
        <v/>
      </c>
      <c r="L358" s="33">
        <f>$C$7*I358*$C$15</f>
        <v/>
      </c>
      <c r="M358" s="33">
        <f>J358-K358-L358</f>
        <v/>
      </c>
    </row>
    <row r="359">
      <c r="E359" s="20" t="n">
        <v>351</v>
      </c>
      <c r="F359" s="32">
        <f>MAX(0.03,MIN(0.18,NORMINV(RAND(),$C$9,$C$10)))</f>
        <v/>
      </c>
      <c r="G359" s="32">
        <f>MAX(0.02,MIN(0.9,NORMINV(RAND(),$C$11,0.10)))</f>
        <v/>
      </c>
      <c r="H359" s="32">
        <f>MAX(0.02,MIN(0.98,NORMINV(RAND(),$C$13,0.15)))</f>
        <v/>
      </c>
      <c r="I359" s="32">
        <f>MAX(0,NORMINV(RAND(),$C$14,0.033))</f>
        <v/>
      </c>
      <c r="J359" s="33">
        <f>($C$7*$C$8/365)*F359</f>
        <v/>
      </c>
      <c r="K359" s="33">
        <f>$C$7*G359*$C$12*H359</f>
        <v/>
      </c>
      <c r="L359" s="33">
        <f>$C$7*I359*$C$15</f>
        <v/>
      </c>
      <c r="M359" s="33">
        <f>J359-K359-L359</f>
        <v/>
      </c>
    </row>
    <row r="360">
      <c r="E360" s="20" t="n">
        <v>352</v>
      </c>
      <c r="F360" s="32">
        <f>MAX(0.03,MIN(0.18,NORMINV(RAND(),$C$9,$C$10)))</f>
        <v/>
      </c>
      <c r="G360" s="32">
        <f>MAX(0.02,MIN(0.9,NORMINV(RAND(),$C$11,0.10)))</f>
        <v/>
      </c>
      <c r="H360" s="32">
        <f>MAX(0.02,MIN(0.98,NORMINV(RAND(),$C$13,0.15)))</f>
        <v/>
      </c>
      <c r="I360" s="32">
        <f>MAX(0,NORMINV(RAND(),$C$14,0.033))</f>
        <v/>
      </c>
      <c r="J360" s="33">
        <f>($C$7*$C$8/365)*F360</f>
        <v/>
      </c>
      <c r="K360" s="33">
        <f>$C$7*G360*$C$12*H360</f>
        <v/>
      </c>
      <c r="L360" s="33">
        <f>$C$7*I360*$C$15</f>
        <v/>
      </c>
      <c r="M360" s="33">
        <f>J360-K360-L360</f>
        <v/>
      </c>
    </row>
    <row r="361">
      <c r="E361" s="20" t="n">
        <v>353</v>
      </c>
      <c r="F361" s="32">
        <f>MAX(0.03,MIN(0.18,NORMINV(RAND(),$C$9,$C$10)))</f>
        <v/>
      </c>
      <c r="G361" s="32">
        <f>MAX(0.02,MIN(0.9,NORMINV(RAND(),$C$11,0.10)))</f>
        <v/>
      </c>
      <c r="H361" s="32">
        <f>MAX(0.02,MIN(0.98,NORMINV(RAND(),$C$13,0.15)))</f>
        <v/>
      </c>
      <c r="I361" s="32">
        <f>MAX(0,NORMINV(RAND(),$C$14,0.033))</f>
        <v/>
      </c>
      <c r="J361" s="33">
        <f>($C$7*$C$8/365)*F361</f>
        <v/>
      </c>
      <c r="K361" s="33">
        <f>$C$7*G361*$C$12*H361</f>
        <v/>
      </c>
      <c r="L361" s="33">
        <f>$C$7*I361*$C$15</f>
        <v/>
      </c>
      <c r="M361" s="33">
        <f>J361-K361-L361</f>
        <v/>
      </c>
    </row>
    <row r="362">
      <c r="E362" s="20" t="n">
        <v>354</v>
      </c>
      <c r="F362" s="32">
        <f>MAX(0.03,MIN(0.18,NORMINV(RAND(),$C$9,$C$10)))</f>
        <v/>
      </c>
      <c r="G362" s="32">
        <f>MAX(0.02,MIN(0.9,NORMINV(RAND(),$C$11,0.10)))</f>
        <v/>
      </c>
      <c r="H362" s="32">
        <f>MAX(0.02,MIN(0.98,NORMINV(RAND(),$C$13,0.15)))</f>
        <v/>
      </c>
      <c r="I362" s="32">
        <f>MAX(0,NORMINV(RAND(),$C$14,0.033))</f>
        <v/>
      </c>
      <c r="J362" s="33">
        <f>($C$7*$C$8/365)*F362</f>
        <v/>
      </c>
      <c r="K362" s="33">
        <f>$C$7*G362*$C$12*H362</f>
        <v/>
      </c>
      <c r="L362" s="33">
        <f>$C$7*I362*$C$15</f>
        <v/>
      </c>
      <c r="M362" s="33">
        <f>J362-K362-L362</f>
        <v/>
      </c>
    </row>
    <row r="363">
      <c r="E363" s="20" t="n">
        <v>355</v>
      </c>
      <c r="F363" s="32">
        <f>MAX(0.03,MIN(0.18,NORMINV(RAND(),$C$9,$C$10)))</f>
        <v/>
      </c>
      <c r="G363" s="32">
        <f>MAX(0.02,MIN(0.9,NORMINV(RAND(),$C$11,0.10)))</f>
        <v/>
      </c>
      <c r="H363" s="32">
        <f>MAX(0.02,MIN(0.98,NORMINV(RAND(),$C$13,0.15)))</f>
        <v/>
      </c>
      <c r="I363" s="32">
        <f>MAX(0,NORMINV(RAND(),$C$14,0.033))</f>
        <v/>
      </c>
      <c r="J363" s="33">
        <f>($C$7*$C$8/365)*F363</f>
        <v/>
      </c>
      <c r="K363" s="33">
        <f>$C$7*G363*$C$12*H363</f>
        <v/>
      </c>
      <c r="L363" s="33">
        <f>$C$7*I363*$C$15</f>
        <v/>
      </c>
      <c r="M363" s="33">
        <f>J363-K363-L363</f>
        <v/>
      </c>
    </row>
    <row r="364">
      <c r="E364" s="20" t="n">
        <v>356</v>
      </c>
      <c r="F364" s="32">
        <f>MAX(0.03,MIN(0.18,NORMINV(RAND(),$C$9,$C$10)))</f>
        <v/>
      </c>
      <c r="G364" s="32">
        <f>MAX(0.02,MIN(0.9,NORMINV(RAND(),$C$11,0.10)))</f>
        <v/>
      </c>
      <c r="H364" s="32">
        <f>MAX(0.02,MIN(0.98,NORMINV(RAND(),$C$13,0.15)))</f>
        <v/>
      </c>
      <c r="I364" s="32">
        <f>MAX(0,NORMINV(RAND(),$C$14,0.033))</f>
        <v/>
      </c>
      <c r="J364" s="33">
        <f>($C$7*$C$8/365)*F364</f>
        <v/>
      </c>
      <c r="K364" s="33">
        <f>$C$7*G364*$C$12*H364</f>
        <v/>
      </c>
      <c r="L364" s="33">
        <f>$C$7*I364*$C$15</f>
        <v/>
      </c>
      <c r="M364" s="33">
        <f>J364-K364-L364</f>
        <v/>
      </c>
    </row>
    <row r="365">
      <c r="E365" s="20" t="n">
        <v>357</v>
      </c>
      <c r="F365" s="32">
        <f>MAX(0.03,MIN(0.18,NORMINV(RAND(),$C$9,$C$10)))</f>
        <v/>
      </c>
      <c r="G365" s="32">
        <f>MAX(0.02,MIN(0.9,NORMINV(RAND(),$C$11,0.10)))</f>
        <v/>
      </c>
      <c r="H365" s="32">
        <f>MAX(0.02,MIN(0.98,NORMINV(RAND(),$C$13,0.15)))</f>
        <v/>
      </c>
      <c r="I365" s="32">
        <f>MAX(0,NORMINV(RAND(),$C$14,0.033))</f>
        <v/>
      </c>
      <c r="J365" s="33">
        <f>($C$7*$C$8/365)*F365</f>
        <v/>
      </c>
      <c r="K365" s="33">
        <f>$C$7*G365*$C$12*H365</f>
        <v/>
      </c>
      <c r="L365" s="33">
        <f>$C$7*I365*$C$15</f>
        <v/>
      </c>
      <c r="M365" s="33">
        <f>J365-K365-L365</f>
        <v/>
      </c>
    </row>
    <row r="366">
      <c r="E366" s="20" t="n">
        <v>358</v>
      </c>
      <c r="F366" s="32">
        <f>MAX(0.03,MIN(0.18,NORMINV(RAND(),$C$9,$C$10)))</f>
        <v/>
      </c>
      <c r="G366" s="32">
        <f>MAX(0.02,MIN(0.9,NORMINV(RAND(),$C$11,0.10)))</f>
        <v/>
      </c>
      <c r="H366" s="32">
        <f>MAX(0.02,MIN(0.98,NORMINV(RAND(),$C$13,0.15)))</f>
        <v/>
      </c>
      <c r="I366" s="32">
        <f>MAX(0,NORMINV(RAND(),$C$14,0.033))</f>
        <v/>
      </c>
      <c r="J366" s="33">
        <f>($C$7*$C$8/365)*F366</f>
        <v/>
      </c>
      <c r="K366" s="33">
        <f>$C$7*G366*$C$12*H366</f>
        <v/>
      </c>
      <c r="L366" s="33">
        <f>$C$7*I366*$C$15</f>
        <v/>
      </c>
      <c r="M366" s="33">
        <f>J366-K366-L366</f>
        <v/>
      </c>
    </row>
    <row r="367">
      <c r="E367" s="20" t="n">
        <v>359</v>
      </c>
      <c r="F367" s="32">
        <f>MAX(0.03,MIN(0.18,NORMINV(RAND(),$C$9,$C$10)))</f>
        <v/>
      </c>
      <c r="G367" s="32">
        <f>MAX(0.02,MIN(0.9,NORMINV(RAND(),$C$11,0.10)))</f>
        <v/>
      </c>
      <c r="H367" s="32">
        <f>MAX(0.02,MIN(0.98,NORMINV(RAND(),$C$13,0.15)))</f>
        <v/>
      </c>
      <c r="I367" s="32">
        <f>MAX(0,NORMINV(RAND(),$C$14,0.033))</f>
        <v/>
      </c>
      <c r="J367" s="33">
        <f>($C$7*$C$8/365)*F367</f>
        <v/>
      </c>
      <c r="K367" s="33">
        <f>$C$7*G367*$C$12*H367</f>
        <v/>
      </c>
      <c r="L367" s="33">
        <f>$C$7*I367*$C$15</f>
        <v/>
      </c>
      <c r="M367" s="33">
        <f>J367-K367-L367</f>
        <v/>
      </c>
    </row>
    <row r="368">
      <c r="E368" s="20" t="n">
        <v>360</v>
      </c>
      <c r="F368" s="32">
        <f>MAX(0.03,MIN(0.18,NORMINV(RAND(),$C$9,$C$10)))</f>
        <v/>
      </c>
      <c r="G368" s="32">
        <f>MAX(0.02,MIN(0.9,NORMINV(RAND(),$C$11,0.10)))</f>
        <v/>
      </c>
      <c r="H368" s="32">
        <f>MAX(0.02,MIN(0.98,NORMINV(RAND(),$C$13,0.15)))</f>
        <v/>
      </c>
      <c r="I368" s="32">
        <f>MAX(0,NORMINV(RAND(),$C$14,0.033))</f>
        <v/>
      </c>
      <c r="J368" s="33">
        <f>($C$7*$C$8/365)*F368</f>
        <v/>
      </c>
      <c r="K368" s="33">
        <f>$C$7*G368*$C$12*H368</f>
        <v/>
      </c>
      <c r="L368" s="33">
        <f>$C$7*I368*$C$15</f>
        <v/>
      </c>
      <c r="M368" s="33">
        <f>J368-K368-L368</f>
        <v/>
      </c>
    </row>
    <row r="369">
      <c r="E369" s="20" t="n">
        <v>361</v>
      </c>
      <c r="F369" s="32">
        <f>MAX(0.03,MIN(0.18,NORMINV(RAND(),$C$9,$C$10)))</f>
        <v/>
      </c>
      <c r="G369" s="32">
        <f>MAX(0.02,MIN(0.9,NORMINV(RAND(),$C$11,0.10)))</f>
        <v/>
      </c>
      <c r="H369" s="32">
        <f>MAX(0.02,MIN(0.98,NORMINV(RAND(),$C$13,0.15)))</f>
        <v/>
      </c>
      <c r="I369" s="32">
        <f>MAX(0,NORMINV(RAND(),$C$14,0.033))</f>
        <v/>
      </c>
      <c r="J369" s="33">
        <f>($C$7*$C$8/365)*F369</f>
        <v/>
      </c>
      <c r="K369" s="33">
        <f>$C$7*G369*$C$12*H369</f>
        <v/>
      </c>
      <c r="L369" s="33">
        <f>$C$7*I369*$C$15</f>
        <v/>
      </c>
      <c r="M369" s="33">
        <f>J369-K369-L369</f>
        <v/>
      </c>
    </row>
    <row r="370">
      <c r="E370" s="20" t="n">
        <v>362</v>
      </c>
      <c r="F370" s="32">
        <f>MAX(0.03,MIN(0.18,NORMINV(RAND(),$C$9,$C$10)))</f>
        <v/>
      </c>
      <c r="G370" s="32">
        <f>MAX(0.02,MIN(0.9,NORMINV(RAND(),$C$11,0.10)))</f>
        <v/>
      </c>
      <c r="H370" s="32">
        <f>MAX(0.02,MIN(0.98,NORMINV(RAND(),$C$13,0.15)))</f>
        <v/>
      </c>
      <c r="I370" s="32">
        <f>MAX(0,NORMINV(RAND(),$C$14,0.033))</f>
        <v/>
      </c>
      <c r="J370" s="33">
        <f>($C$7*$C$8/365)*F370</f>
        <v/>
      </c>
      <c r="K370" s="33">
        <f>$C$7*G370*$C$12*H370</f>
        <v/>
      </c>
      <c r="L370" s="33">
        <f>$C$7*I370*$C$15</f>
        <v/>
      </c>
      <c r="M370" s="33">
        <f>J370-K370-L370</f>
        <v/>
      </c>
    </row>
    <row r="371">
      <c r="E371" s="20" t="n">
        <v>363</v>
      </c>
      <c r="F371" s="32">
        <f>MAX(0.03,MIN(0.18,NORMINV(RAND(),$C$9,$C$10)))</f>
        <v/>
      </c>
      <c r="G371" s="32">
        <f>MAX(0.02,MIN(0.9,NORMINV(RAND(),$C$11,0.10)))</f>
        <v/>
      </c>
      <c r="H371" s="32">
        <f>MAX(0.02,MIN(0.98,NORMINV(RAND(),$C$13,0.15)))</f>
        <v/>
      </c>
      <c r="I371" s="32">
        <f>MAX(0,NORMINV(RAND(),$C$14,0.033))</f>
        <v/>
      </c>
      <c r="J371" s="33">
        <f>($C$7*$C$8/365)*F371</f>
        <v/>
      </c>
      <c r="K371" s="33">
        <f>$C$7*G371*$C$12*H371</f>
        <v/>
      </c>
      <c r="L371" s="33">
        <f>$C$7*I371*$C$15</f>
        <v/>
      </c>
      <c r="M371" s="33">
        <f>J371-K371-L371</f>
        <v/>
      </c>
    </row>
    <row r="372">
      <c r="E372" s="20" t="n">
        <v>364</v>
      </c>
      <c r="F372" s="32">
        <f>MAX(0.03,MIN(0.18,NORMINV(RAND(),$C$9,$C$10)))</f>
        <v/>
      </c>
      <c r="G372" s="32">
        <f>MAX(0.02,MIN(0.9,NORMINV(RAND(),$C$11,0.10)))</f>
        <v/>
      </c>
      <c r="H372" s="32">
        <f>MAX(0.02,MIN(0.98,NORMINV(RAND(),$C$13,0.15)))</f>
        <v/>
      </c>
      <c r="I372" s="32">
        <f>MAX(0,NORMINV(RAND(),$C$14,0.033))</f>
        <v/>
      </c>
      <c r="J372" s="33">
        <f>($C$7*$C$8/365)*F372</f>
        <v/>
      </c>
      <c r="K372" s="33">
        <f>$C$7*G372*$C$12*H372</f>
        <v/>
      </c>
      <c r="L372" s="33">
        <f>$C$7*I372*$C$15</f>
        <v/>
      </c>
      <c r="M372" s="33">
        <f>J372-K372-L372</f>
        <v/>
      </c>
    </row>
    <row r="373">
      <c r="E373" s="20" t="n">
        <v>365</v>
      </c>
      <c r="F373" s="32">
        <f>MAX(0.03,MIN(0.18,NORMINV(RAND(),$C$9,$C$10)))</f>
        <v/>
      </c>
      <c r="G373" s="32">
        <f>MAX(0.02,MIN(0.9,NORMINV(RAND(),$C$11,0.10)))</f>
        <v/>
      </c>
      <c r="H373" s="32">
        <f>MAX(0.02,MIN(0.98,NORMINV(RAND(),$C$13,0.15)))</f>
        <v/>
      </c>
      <c r="I373" s="32">
        <f>MAX(0,NORMINV(RAND(),$C$14,0.033))</f>
        <v/>
      </c>
      <c r="J373" s="33">
        <f>($C$7*$C$8/365)*F373</f>
        <v/>
      </c>
      <c r="K373" s="33">
        <f>$C$7*G373*$C$12*H373</f>
        <v/>
      </c>
      <c r="L373" s="33">
        <f>$C$7*I373*$C$15</f>
        <v/>
      </c>
      <c r="M373" s="33">
        <f>J373-K373-L373</f>
        <v/>
      </c>
    </row>
    <row r="374">
      <c r="E374" s="20" t="n">
        <v>366</v>
      </c>
      <c r="F374" s="32">
        <f>MAX(0.03,MIN(0.18,NORMINV(RAND(),$C$9,$C$10)))</f>
        <v/>
      </c>
      <c r="G374" s="32">
        <f>MAX(0.02,MIN(0.9,NORMINV(RAND(),$C$11,0.10)))</f>
        <v/>
      </c>
      <c r="H374" s="32">
        <f>MAX(0.02,MIN(0.98,NORMINV(RAND(),$C$13,0.15)))</f>
        <v/>
      </c>
      <c r="I374" s="32">
        <f>MAX(0,NORMINV(RAND(),$C$14,0.033))</f>
        <v/>
      </c>
      <c r="J374" s="33">
        <f>($C$7*$C$8/365)*F374</f>
        <v/>
      </c>
      <c r="K374" s="33">
        <f>$C$7*G374*$C$12*H374</f>
        <v/>
      </c>
      <c r="L374" s="33">
        <f>$C$7*I374*$C$15</f>
        <v/>
      </c>
      <c r="M374" s="33">
        <f>J374-K374-L374</f>
        <v/>
      </c>
    </row>
    <row r="375">
      <c r="E375" s="20" t="n">
        <v>367</v>
      </c>
      <c r="F375" s="32">
        <f>MAX(0.03,MIN(0.18,NORMINV(RAND(),$C$9,$C$10)))</f>
        <v/>
      </c>
      <c r="G375" s="32">
        <f>MAX(0.02,MIN(0.9,NORMINV(RAND(),$C$11,0.10)))</f>
        <v/>
      </c>
      <c r="H375" s="32">
        <f>MAX(0.02,MIN(0.98,NORMINV(RAND(),$C$13,0.15)))</f>
        <v/>
      </c>
      <c r="I375" s="32">
        <f>MAX(0,NORMINV(RAND(),$C$14,0.033))</f>
        <v/>
      </c>
      <c r="J375" s="33">
        <f>($C$7*$C$8/365)*F375</f>
        <v/>
      </c>
      <c r="K375" s="33">
        <f>$C$7*G375*$C$12*H375</f>
        <v/>
      </c>
      <c r="L375" s="33">
        <f>$C$7*I375*$C$15</f>
        <v/>
      </c>
      <c r="M375" s="33">
        <f>J375-K375-L375</f>
        <v/>
      </c>
    </row>
    <row r="376">
      <c r="E376" s="20" t="n">
        <v>368</v>
      </c>
      <c r="F376" s="32">
        <f>MAX(0.03,MIN(0.18,NORMINV(RAND(),$C$9,$C$10)))</f>
        <v/>
      </c>
      <c r="G376" s="32">
        <f>MAX(0.02,MIN(0.9,NORMINV(RAND(),$C$11,0.10)))</f>
        <v/>
      </c>
      <c r="H376" s="32">
        <f>MAX(0.02,MIN(0.98,NORMINV(RAND(),$C$13,0.15)))</f>
        <v/>
      </c>
      <c r="I376" s="32">
        <f>MAX(0,NORMINV(RAND(),$C$14,0.033))</f>
        <v/>
      </c>
      <c r="J376" s="33">
        <f>($C$7*$C$8/365)*F376</f>
        <v/>
      </c>
      <c r="K376" s="33">
        <f>$C$7*G376*$C$12*H376</f>
        <v/>
      </c>
      <c r="L376" s="33">
        <f>$C$7*I376*$C$15</f>
        <v/>
      </c>
      <c r="M376" s="33">
        <f>J376-K376-L376</f>
        <v/>
      </c>
    </row>
    <row r="377">
      <c r="E377" s="20" t="n">
        <v>369</v>
      </c>
      <c r="F377" s="32">
        <f>MAX(0.03,MIN(0.18,NORMINV(RAND(),$C$9,$C$10)))</f>
        <v/>
      </c>
      <c r="G377" s="32">
        <f>MAX(0.02,MIN(0.9,NORMINV(RAND(),$C$11,0.10)))</f>
        <v/>
      </c>
      <c r="H377" s="32">
        <f>MAX(0.02,MIN(0.98,NORMINV(RAND(),$C$13,0.15)))</f>
        <v/>
      </c>
      <c r="I377" s="32">
        <f>MAX(0,NORMINV(RAND(),$C$14,0.033))</f>
        <v/>
      </c>
      <c r="J377" s="33">
        <f>($C$7*$C$8/365)*F377</f>
        <v/>
      </c>
      <c r="K377" s="33">
        <f>$C$7*G377*$C$12*H377</f>
        <v/>
      </c>
      <c r="L377" s="33">
        <f>$C$7*I377*$C$15</f>
        <v/>
      </c>
      <c r="M377" s="33">
        <f>J377-K377-L377</f>
        <v/>
      </c>
    </row>
    <row r="378">
      <c r="E378" s="20" t="n">
        <v>370</v>
      </c>
      <c r="F378" s="32">
        <f>MAX(0.03,MIN(0.18,NORMINV(RAND(),$C$9,$C$10)))</f>
        <v/>
      </c>
      <c r="G378" s="32">
        <f>MAX(0.02,MIN(0.9,NORMINV(RAND(),$C$11,0.10)))</f>
        <v/>
      </c>
      <c r="H378" s="32">
        <f>MAX(0.02,MIN(0.98,NORMINV(RAND(),$C$13,0.15)))</f>
        <v/>
      </c>
      <c r="I378" s="32">
        <f>MAX(0,NORMINV(RAND(),$C$14,0.033))</f>
        <v/>
      </c>
      <c r="J378" s="33">
        <f>($C$7*$C$8/365)*F378</f>
        <v/>
      </c>
      <c r="K378" s="33">
        <f>$C$7*G378*$C$12*H378</f>
        <v/>
      </c>
      <c r="L378" s="33">
        <f>$C$7*I378*$C$15</f>
        <v/>
      </c>
      <c r="M378" s="33">
        <f>J378-K378-L378</f>
        <v/>
      </c>
    </row>
    <row r="379">
      <c r="E379" s="20" t="n">
        <v>371</v>
      </c>
      <c r="F379" s="32">
        <f>MAX(0.03,MIN(0.18,NORMINV(RAND(),$C$9,$C$10)))</f>
        <v/>
      </c>
      <c r="G379" s="32">
        <f>MAX(0.02,MIN(0.9,NORMINV(RAND(),$C$11,0.10)))</f>
        <v/>
      </c>
      <c r="H379" s="32">
        <f>MAX(0.02,MIN(0.98,NORMINV(RAND(),$C$13,0.15)))</f>
        <v/>
      </c>
      <c r="I379" s="32">
        <f>MAX(0,NORMINV(RAND(),$C$14,0.033))</f>
        <v/>
      </c>
      <c r="J379" s="33">
        <f>($C$7*$C$8/365)*F379</f>
        <v/>
      </c>
      <c r="K379" s="33">
        <f>$C$7*G379*$C$12*H379</f>
        <v/>
      </c>
      <c r="L379" s="33">
        <f>$C$7*I379*$C$15</f>
        <v/>
      </c>
      <c r="M379" s="33">
        <f>J379-K379-L379</f>
        <v/>
      </c>
    </row>
    <row r="380">
      <c r="E380" s="20" t="n">
        <v>372</v>
      </c>
      <c r="F380" s="32">
        <f>MAX(0.03,MIN(0.18,NORMINV(RAND(),$C$9,$C$10)))</f>
        <v/>
      </c>
      <c r="G380" s="32">
        <f>MAX(0.02,MIN(0.9,NORMINV(RAND(),$C$11,0.10)))</f>
        <v/>
      </c>
      <c r="H380" s="32">
        <f>MAX(0.02,MIN(0.98,NORMINV(RAND(),$C$13,0.15)))</f>
        <v/>
      </c>
      <c r="I380" s="32">
        <f>MAX(0,NORMINV(RAND(),$C$14,0.033))</f>
        <v/>
      </c>
      <c r="J380" s="33">
        <f>($C$7*$C$8/365)*F380</f>
        <v/>
      </c>
      <c r="K380" s="33">
        <f>$C$7*G380*$C$12*H380</f>
        <v/>
      </c>
      <c r="L380" s="33">
        <f>$C$7*I380*$C$15</f>
        <v/>
      </c>
      <c r="M380" s="33">
        <f>J380-K380-L380</f>
        <v/>
      </c>
    </row>
    <row r="381">
      <c r="E381" s="20" t="n">
        <v>373</v>
      </c>
      <c r="F381" s="32">
        <f>MAX(0.03,MIN(0.18,NORMINV(RAND(),$C$9,$C$10)))</f>
        <v/>
      </c>
      <c r="G381" s="32">
        <f>MAX(0.02,MIN(0.9,NORMINV(RAND(),$C$11,0.10)))</f>
        <v/>
      </c>
      <c r="H381" s="32">
        <f>MAX(0.02,MIN(0.98,NORMINV(RAND(),$C$13,0.15)))</f>
        <v/>
      </c>
      <c r="I381" s="32">
        <f>MAX(0,NORMINV(RAND(),$C$14,0.033))</f>
        <v/>
      </c>
      <c r="J381" s="33">
        <f>($C$7*$C$8/365)*F381</f>
        <v/>
      </c>
      <c r="K381" s="33">
        <f>$C$7*G381*$C$12*H381</f>
        <v/>
      </c>
      <c r="L381" s="33">
        <f>$C$7*I381*$C$15</f>
        <v/>
      </c>
      <c r="M381" s="33">
        <f>J381-K381-L381</f>
        <v/>
      </c>
    </row>
    <row r="382">
      <c r="E382" s="20" t="n">
        <v>374</v>
      </c>
      <c r="F382" s="32">
        <f>MAX(0.03,MIN(0.18,NORMINV(RAND(),$C$9,$C$10)))</f>
        <v/>
      </c>
      <c r="G382" s="32">
        <f>MAX(0.02,MIN(0.9,NORMINV(RAND(),$C$11,0.10)))</f>
        <v/>
      </c>
      <c r="H382" s="32">
        <f>MAX(0.02,MIN(0.98,NORMINV(RAND(),$C$13,0.15)))</f>
        <v/>
      </c>
      <c r="I382" s="32">
        <f>MAX(0,NORMINV(RAND(),$C$14,0.033))</f>
        <v/>
      </c>
      <c r="J382" s="33">
        <f>($C$7*$C$8/365)*F382</f>
        <v/>
      </c>
      <c r="K382" s="33">
        <f>$C$7*G382*$C$12*H382</f>
        <v/>
      </c>
      <c r="L382" s="33">
        <f>$C$7*I382*$C$15</f>
        <v/>
      </c>
      <c r="M382" s="33">
        <f>J382-K382-L382</f>
        <v/>
      </c>
    </row>
    <row r="383">
      <c r="E383" s="20" t="n">
        <v>375</v>
      </c>
      <c r="F383" s="32">
        <f>MAX(0.03,MIN(0.18,NORMINV(RAND(),$C$9,$C$10)))</f>
        <v/>
      </c>
      <c r="G383" s="32">
        <f>MAX(0.02,MIN(0.9,NORMINV(RAND(),$C$11,0.10)))</f>
        <v/>
      </c>
      <c r="H383" s="32">
        <f>MAX(0.02,MIN(0.98,NORMINV(RAND(),$C$13,0.15)))</f>
        <v/>
      </c>
      <c r="I383" s="32">
        <f>MAX(0,NORMINV(RAND(),$C$14,0.033))</f>
        <v/>
      </c>
      <c r="J383" s="33">
        <f>($C$7*$C$8/365)*F383</f>
        <v/>
      </c>
      <c r="K383" s="33">
        <f>$C$7*G383*$C$12*H383</f>
        <v/>
      </c>
      <c r="L383" s="33">
        <f>$C$7*I383*$C$15</f>
        <v/>
      </c>
      <c r="M383" s="33">
        <f>J383-K383-L383</f>
        <v/>
      </c>
    </row>
    <row r="384">
      <c r="E384" s="20" t="n">
        <v>376</v>
      </c>
      <c r="F384" s="32">
        <f>MAX(0.03,MIN(0.18,NORMINV(RAND(),$C$9,$C$10)))</f>
        <v/>
      </c>
      <c r="G384" s="32">
        <f>MAX(0.02,MIN(0.9,NORMINV(RAND(),$C$11,0.10)))</f>
        <v/>
      </c>
      <c r="H384" s="32">
        <f>MAX(0.02,MIN(0.98,NORMINV(RAND(),$C$13,0.15)))</f>
        <v/>
      </c>
      <c r="I384" s="32">
        <f>MAX(0,NORMINV(RAND(),$C$14,0.033))</f>
        <v/>
      </c>
      <c r="J384" s="33">
        <f>($C$7*$C$8/365)*F384</f>
        <v/>
      </c>
      <c r="K384" s="33">
        <f>$C$7*G384*$C$12*H384</f>
        <v/>
      </c>
      <c r="L384" s="33">
        <f>$C$7*I384*$C$15</f>
        <v/>
      </c>
      <c r="M384" s="33">
        <f>J384-K384-L384</f>
        <v/>
      </c>
    </row>
    <row r="385">
      <c r="E385" s="20" t="n">
        <v>377</v>
      </c>
      <c r="F385" s="32">
        <f>MAX(0.03,MIN(0.18,NORMINV(RAND(),$C$9,$C$10)))</f>
        <v/>
      </c>
      <c r="G385" s="32">
        <f>MAX(0.02,MIN(0.9,NORMINV(RAND(),$C$11,0.10)))</f>
        <v/>
      </c>
      <c r="H385" s="32">
        <f>MAX(0.02,MIN(0.98,NORMINV(RAND(),$C$13,0.15)))</f>
        <v/>
      </c>
      <c r="I385" s="32">
        <f>MAX(0,NORMINV(RAND(),$C$14,0.033))</f>
        <v/>
      </c>
      <c r="J385" s="33">
        <f>($C$7*$C$8/365)*F385</f>
        <v/>
      </c>
      <c r="K385" s="33">
        <f>$C$7*G385*$C$12*H385</f>
        <v/>
      </c>
      <c r="L385" s="33">
        <f>$C$7*I385*$C$15</f>
        <v/>
      </c>
      <c r="M385" s="33">
        <f>J385-K385-L385</f>
        <v/>
      </c>
    </row>
    <row r="386">
      <c r="E386" s="20" t="n">
        <v>378</v>
      </c>
      <c r="F386" s="32">
        <f>MAX(0.03,MIN(0.18,NORMINV(RAND(),$C$9,$C$10)))</f>
        <v/>
      </c>
      <c r="G386" s="32">
        <f>MAX(0.02,MIN(0.9,NORMINV(RAND(),$C$11,0.10)))</f>
        <v/>
      </c>
      <c r="H386" s="32">
        <f>MAX(0.02,MIN(0.98,NORMINV(RAND(),$C$13,0.15)))</f>
        <v/>
      </c>
      <c r="I386" s="32">
        <f>MAX(0,NORMINV(RAND(),$C$14,0.033))</f>
        <v/>
      </c>
      <c r="J386" s="33">
        <f>($C$7*$C$8/365)*F386</f>
        <v/>
      </c>
      <c r="K386" s="33">
        <f>$C$7*G386*$C$12*H386</f>
        <v/>
      </c>
      <c r="L386" s="33">
        <f>$C$7*I386*$C$15</f>
        <v/>
      </c>
      <c r="M386" s="33">
        <f>J386-K386-L386</f>
        <v/>
      </c>
    </row>
    <row r="387">
      <c r="E387" s="20" t="n">
        <v>379</v>
      </c>
      <c r="F387" s="32">
        <f>MAX(0.03,MIN(0.18,NORMINV(RAND(),$C$9,$C$10)))</f>
        <v/>
      </c>
      <c r="G387" s="32">
        <f>MAX(0.02,MIN(0.9,NORMINV(RAND(),$C$11,0.10)))</f>
        <v/>
      </c>
      <c r="H387" s="32">
        <f>MAX(0.02,MIN(0.98,NORMINV(RAND(),$C$13,0.15)))</f>
        <v/>
      </c>
      <c r="I387" s="32">
        <f>MAX(0,NORMINV(RAND(),$C$14,0.033))</f>
        <v/>
      </c>
      <c r="J387" s="33">
        <f>($C$7*$C$8/365)*F387</f>
        <v/>
      </c>
      <c r="K387" s="33">
        <f>$C$7*G387*$C$12*H387</f>
        <v/>
      </c>
      <c r="L387" s="33">
        <f>$C$7*I387*$C$15</f>
        <v/>
      </c>
      <c r="M387" s="33">
        <f>J387-K387-L387</f>
        <v/>
      </c>
    </row>
    <row r="388">
      <c r="E388" s="20" t="n">
        <v>380</v>
      </c>
      <c r="F388" s="32">
        <f>MAX(0.03,MIN(0.18,NORMINV(RAND(),$C$9,$C$10)))</f>
        <v/>
      </c>
      <c r="G388" s="32">
        <f>MAX(0.02,MIN(0.9,NORMINV(RAND(),$C$11,0.10)))</f>
        <v/>
      </c>
      <c r="H388" s="32">
        <f>MAX(0.02,MIN(0.98,NORMINV(RAND(),$C$13,0.15)))</f>
        <v/>
      </c>
      <c r="I388" s="32">
        <f>MAX(0,NORMINV(RAND(),$C$14,0.033))</f>
        <v/>
      </c>
      <c r="J388" s="33">
        <f>($C$7*$C$8/365)*F388</f>
        <v/>
      </c>
      <c r="K388" s="33">
        <f>$C$7*G388*$C$12*H388</f>
        <v/>
      </c>
      <c r="L388" s="33">
        <f>$C$7*I388*$C$15</f>
        <v/>
      </c>
      <c r="M388" s="33">
        <f>J388-K388-L388</f>
        <v/>
      </c>
    </row>
    <row r="389">
      <c r="E389" s="20" t="n">
        <v>381</v>
      </c>
      <c r="F389" s="32">
        <f>MAX(0.03,MIN(0.18,NORMINV(RAND(),$C$9,$C$10)))</f>
        <v/>
      </c>
      <c r="G389" s="32">
        <f>MAX(0.02,MIN(0.9,NORMINV(RAND(),$C$11,0.10)))</f>
        <v/>
      </c>
      <c r="H389" s="32">
        <f>MAX(0.02,MIN(0.98,NORMINV(RAND(),$C$13,0.15)))</f>
        <v/>
      </c>
      <c r="I389" s="32">
        <f>MAX(0,NORMINV(RAND(),$C$14,0.033))</f>
        <v/>
      </c>
      <c r="J389" s="33">
        <f>($C$7*$C$8/365)*F389</f>
        <v/>
      </c>
      <c r="K389" s="33">
        <f>$C$7*G389*$C$12*H389</f>
        <v/>
      </c>
      <c r="L389" s="33">
        <f>$C$7*I389*$C$15</f>
        <v/>
      </c>
      <c r="M389" s="33">
        <f>J389-K389-L389</f>
        <v/>
      </c>
    </row>
    <row r="390">
      <c r="E390" s="20" t="n">
        <v>382</v>
      </c>
      <c r="F390" s="32">
        <f>MAX(0.03,MIN(0.18,NORMINV(RAND(),$C$9,$C$10)))</f>
        <v/>
      </c>
      <c r="G390" s="32">
        <f>MAX(0.02,MIN(0.9,NORMINV(RAND(),$C$11,0.10)))</f>
        <v/>
      </c>
      <c r="H390" s="32">
        <f>MAX(0.02,MIN(0.98,NORMINV(RAND(),$C$13,0.15)))</f>
        <v/>
      </c>
      <c r="I390" s="32">
        <f>MAX(0,NORMINV(RAND(),$C$14,0.033))</f>
        <v/>
      </c>
      <c r="J390" s="33">
        <f>($C$7*$C$8/365)*F390</f>
        <v/>
      </c>
      <c r="K390" s="33">
        <f>$C$7*G390*$C$12*H390</f>
        <v/>
      </c>
      <c r="L390" s="33">
        <f>$C$7*I390*$C$15</f>
        <v/>
      </c>
      <c r="M390" s="33">
        <f>J390-K390-L390</f>
        <v/>
      </c>
    </row>
    <row r="391">
      <c r="E391" s="20" t="n">
        <v>383</v>
      </c>
      <c r="F391" s="32">
        <f>MAX(0.03,MIN(0.18,NORMINV(RAND(),$C$9,$C$10)))</f>
        <v/>
      </c>
      <c r="G391" s="32">
        <f>MAX(0.02,MIN(0.9,NORMINV(RAND(),$C$11,0.10)))</f>
        <v/>
      </c>
      <c r="H391" s="32">
        <f>MAX(0.02,MIN(0.98,NORMINV(RAND(),$C$13,0.15)))</f>
        <v/>
      </c>
      <c r="I391" s="32">
        <f>MAX(0,NORMINV(RAND(),$C$14,0.033))</f>
        <v/>
      </c>
      <c r="J391" s="33">
        <f>($C$7*$C$8/365)*F391</f>
        <v/>
      </c>
      <c r="K391" s="33">
        <f>$C$7*G391*$C$12*H391</f>
        <v/>
      </c>
      <c r="L391" s="33">
        <f>$C$7*I391*$C$15</f>
        <v/>
      </c>
      <c r="M391" s="33">
        <f>J391-K391-L391</f>
        <v/>
      </c>
    </row>
    <row r="392">
      <c r="E392" s="20" t="n">
        <v>384</v>
      </c>
      <c r="F392" s="32">
        <f>MAX(0.03,MIN(0.18,NORMINV(RAND(),$C$9,$C$10)))</f>
        <v/>
      </c>
      <c r="G392" s="32">
        <f>MAX(0.02,MIN(0.9,NORMINV(RAND(),$C$11,0.10)))</f>
        <v/>
      </c>
      <c r="H392" s="32">
        <f>MAX(0.02,MIN(0.98,NORMINV(RAND(),$C$13,0.15)))</f>
        <v/>
      </c>
      <c r="I392" s="32">
        <f>MAX(0,NORMINV(RAND(),$C$14,0.033))</f>
        <v/>
      </c>
      <c r="J392" s="33">
        <f>($C$7*$C$8/365)*F392</f>
        <v/>
      </c>
      <c r="K392" s="33">
        <f>$C$7*G392*$C$12*H392</f>
        <v/>
      </c>
      <c r="L392" s="33">
        <f>$C$7*I392*$C$15</f>
        <v/>
      </c>
      <c r="M392" s="33">
        <f>J392-K392-L392</f>
        <v/>
      </c>
    </row>
    <row r="393">
      <c r="E393" s="20" t="n">
        <v>385</v>
      </c>
      <c r="F393" s="32">
        <f>MAX(0.03,MIN(0.18,NORMINV(RAND(),$C$9,$C$10)))</f>
        <v/>
      </c>
      <c r="G393" s="32">
        <f>MAX(0.02,MIN(0.9,NORMINV(RAND(),$C$11,0.10)))</f>
        <v/>
      </c>
      <c r="H393" s="32">
        <f>MAX(0.02,MIN(0.98,NORMINV(RAND(),$C$13,0.15)))</f>
        <v/>
      </c>
      <c r="I393" s="32">
        <f>MAX(0,NORMINV(RAND(),$C$14,0.033))</f>
        <v/>
      </c>
      <c r="J393" s="33">
        <f>($C$7*$C$8/365)*F393</f>
        <v/>
      </c>
      <c r="K393" s="33">
        <f>$C$7*G393*$C$12*H393</f>
        <v/>
      </c>
      <c r="L393" s="33">
        <f>$C$7*I393*$C$15</f>
        <v/>
      </c>
      <c r="M393" s="33">
        <f>J393-K393-L393</f>
        <v/>
      </c>
    </row>
    <row r="394">
      <c r="E394" s="20" t="n">
        <v>386</v>
      </c>
      <c r="F394" s="32">
        <f>MAX(0.03,MIN(0.18,NORMINV(RAND(),$C$9,$C$10)))</f>
        <v/>
      </c>
      <c r="G394" s="32">
        <f>MAX(0.02,MIN(0.9,NORMINV(RAND(),$C$11,0.10)))</f>
        <v/>
      </c>
      <c r="H394" s="32">
        <f>MAX(0.02,MIN(0.98,NORMINV(RAND(),$C$13,0.15)))</f>
        <v/>
      </c>
      <c r="I394" s="32">
        <f>MAX(0,NORMINV(RAND(),$C$14,0.033))</f>
        <v/>
      </c>
      <c r="J394" s="33">
        <f>($C$7*$C$8/365)*F394</f>
        <v/>
      </c>
      <c r="K394" s="33">
        <f>$C$7*G394*$C$12*H394</f>
        <v/>
      </c>
      <c r="L394" s="33">
        <f>$C$7*I394*$C$15</f>
        <v/>
      </c>
      <c r="M394" s="33">
        <f>J394-K394-L394</f>
        <v/>
      </c>
    </row>
    <row r="395">
      <c r="E395" s="20" t="n">
        <v>387</v>
      </c>
      <c r="F395" s="32">
        <f>MAX(0.03,MIN(0.18,NORMINV(RAND(),$C$9,$C$10)))</f>
        <v/>
      </c>
      <c r="G395" s="32">
        <f>MAX(0.02,MIN(0.9,NORMINV(RAND(),$C$11,0.10)))</f>
        <v/>
      </c>
      <c r="H395" s="32">
        <f>MAX(0.02,MIN(0.98,NORMINV(RAND(),$C$13,0.15)))</f>
        <v/>
      </c>
      <c r="I395" s="32">
        <f>MAX(0,NORMINV(RAND(),$C$14,0.033))</f>
        <v/>
      </c>
      <c r="J395" s="33">
        <f>($C$7*$C$8/365)*F395</f>
        <v/>
      </c>
      <c r="K395" s="33">
        <f>$C$7*G395*$C$12*H395</f>
        <v/>
      </c>
      <c r="L395" s="33">
        <f>$C$7*I395*$C$15</f>
        <v/>
      </c>
      <c r="M395" s="33">
        <f>J395-K395-L395</f>
        <v/>
      </c>
    </row>
    <row r="396">
      <c r="E396" s="20" t="n">
        <v>388</v>
      </c>
      <c r="F396" s="32">
        <f>MAX(0.03,MIN(0.18,NORMINV(RAND(),$C$9,$C$10)))</f>
        <v/>
      </c>
      <c r="G396" s="32">
        <f>MAX(0.02,MIN(0.9,NORMINV(RAND(),$C$11,0.10)))</f>
        <v/>
      </c>
      <c r="H396" s="32">
        <f>MAX(0.02,MIN(0.98,NORMINV(RAND(),$C$13,0.15)))</f>
        <v/>
      </c>
      <c r="I396" s="32">
        <f>MAX(0,NORMINV(RAND(),$C$14,0.033))</f>
        <v/>
      </c>
      <c r="J396" s="33">
        <f>($C$7*$C$8/365)*F396</f>
        <v/>
      </c>
      <c r="K396" s="33">
        <f>$C$7*G396*$C$12*H396</f>
        <v/>
      </c>
      <c r="L396" s="33">
        <f>$C$7*I396*$C$15</f>
        <v/>
      </c>
      <c r="M396" s="33">
        <f>J396-K396-L396</f>
        <v/>
      </c>
    </row>
    <row r="397">
      <c r="E397" s="20" t="n">
        <v>389</v>
      </c>
      <c r="F397" s="32">
        <f>MAX(0.03,MIN(0.18,NORMINV(RAND(),$C$9,$C$10)))</f>
        <v/>
      </c>
      <c r="G397" s="32">
        <f>MAX(0.02,MIN(0.9,NORMINV(RAND(),$C$11,0.10)))</f>
        <v/>
      </c>
      <c r="H397" s="32">
        <f>MAX(0.02,MIN(0.98,NORMINV(RAND(),$C$13,0.15)))</f>
        <v/>
      </c>
      <c r="I397" s="32">
        <f>MAX(0,NORMINV(RAND(),$C$14,0.033))</f>
        <v/>
      </c>
      <c r="J397" s="33">
        <f>($C$7*$C$8/365)*F397</f>
        <v/>
      </c>
      <c r="K397" s="33">
        <f>$C$7*G397*$C$12*H397</f>
        <v/>
      </c>
      <c r="L397" s="33">
        <f>$C$7*I397*$C$15</f>
        <v/>
      </c>
      <c r="M397" s="33">
        <f>J397-K397-L397</f>
        <v/>
      </c>
    </row>
    <row r="398">
      <c r="E398" s="20" t="n">
        <v>390</v>
      </c>
      <c r="F398" s="32">
        <f>MAX(0.03,MIN(0.18,NORMINV(RAND(),$C$9,$C$10)))</f>
        <v/>
      </c>
      <c r="G398" s="32">
        <f>MAX(0.02,MIN(0.9,NORMINV(RAND(),$C$11,0.10)))</f>
        <v/>
      </c>
      <c r="H398" s="32">
        <f>MAX(0.02,MIN(0.98,NORMINV(RAND(),$C$13,0.15)))</f>
        <v/>
      </c>
      <c r="I398" s="32">
        <f>MAX(0,NORMINV(RAND(),$C$14,0.033))</f>
        <v/>
      </c>
      <c r="J398" s="33">
        <f>($C$7*$C$8/365)*F398</f>
        <v/>
      </c>
      <c r="K398" s="33">
        <f>$C$7*G398*$C$12*H398</f>
        <v/>
      </c>
      <c r="L398" s="33">
        <f>$C$7*I398*$C$15</f>
        <v/>
      </c>
      <c r="M398" s="33">
        <f>J398-K398-L398</f>
        <v/>
      </c>
    </row>
    <row r="399">
      <c r="E399" s="20" t="n">
        <v>391</v>
      </c>
      <c r="F399" s="32">
        <f>MAX(0.03,MIN(0.18,NORMINV(RAND(),$C$9,$C$10)))</f>
        <v/>
      </c>
      <c r="G399" s="32">
        <f>MAX(0.02,MIN(0.9,NORMINV(RAND(),$C$11,0.10)))</f>
        <v/>
      </c>
      <c r="H399" s="32">
        <f>MAX(0.02,MIN(0.98,NORMINV(RAND(),$C$13,0.15)))</f>
        <v/>
      </c>
      <c r="I399" s="32">
        <f>MAX(0,NORMINV(RAND(),$C$14,0.033))</f>
        <v/>
      </c>
      <c r="J399" s="33">
        <f>($C$7*$C$8/365)*F399</f>
        <v/>
      </c>
      <c r="K399" s="33">
        <f>$C$7*G399*$C$12*H399</f>
        <v/>
      </c>
      <c r="L399" s="33">
        <f>$C$7*I399*$C$15</f>
        <v/>
      </c>
      <c r="M399" s="33">
        <f>J399-K399-L399</f>
        <v/>
      </c>
    </row>
    <row r="400">
      <c r="E400" s="20" t="n">
        <v>392</v>
      </c>
      <c r="F400" s="32">
        <f>MAX(0.03,MIN(0.18,NORMINV(RAND(),$C$9,$C$10)))</f>
        <v/>
      </c>
      <c r="G400" s="32">
        <f>MAX(0.02,MIN(0.9,NORMINV(RAND(),$C$11,0.10)))</f>
        <v/>
      </c>
      <c r="H400" s="32">
        <f>MAX(0.02,MIN(0.98,NORMINV(RAND(),$C$13,0.15)))</f>
        <v/>
      </c>
      <c r="I400" s="32">
        <f>MAX(0,NORMINV(RAND(),$C$14,0.033))</f>
        <v/>
      </c>
      <c r="J400" s="33">
        <f>($C$7*$C$8/365)*F400</f>
        <v/>
      </c>
      <c r="K400" s="33">
        <f>$C$7*G400*$C$12*H400</f>
        <v/>
      </c>
      <c r="L400" s="33">
        <f>$C$7*I400*$C$15</f>
        <v/>
      </c>
      <c r="M400" s="33">
        <f>J400-K400-L400</f>
        <v/>
      </c>
    </row>
    <row r="401">
      <c r="E401" s="20" t="n">
        <v>393</v>
      </c>
      <c r="F401" s="32">
        <f>MAX(0.03,MIN(0.18,NORMINV(RAND(),$C$9,$C$10)))</f>
        <v/>
      </c>
      <c r="G401" s="32">
        <f>MAX(0.02,MIN(0.9,NORMINV(RAND(),$C$11,0.10)))</f>
        <v/>
      </c>
      <c r="H401" s="32">
        <f>MAX(0.02,MIN(0.98,NORMINV(RAND(),$C$13,0.15)))</f>
        <v/>
      </c>
      <c r="I401" s="32">
        <f>MAX(0,NORMINV(RAND(),$C$14,0.033))</f>
        <v/>
      </c>
      <c r="J401" s="33">
        <f>($C$7*$C$8/365)*F401</f>
        <v/>
      </c>
      <c r="K401" s="33">
        <f>$C$7*G401*$C$12*H401</f>
        <v/>
      </c>
      <c r="L401" s="33">
        <f>$C$7*I401*$C$15</f>
        <v/>
      </c>
      <c r="M401" s="33">
        <f>J401-K401-L401</f>
        <v/>
      </c>
    </row>
    <row r="402">
      <c r="E402" s="20" t="n">
        <v>394</v>
      </c>
      <c r="F402" s="32">
        <f>MAX(0.03,MIN(0.18,NORMINV(RAND(),$C$9,$C$10)))</f>
        <v/>
      </c>
      <c r="G402" s="32">
        <f>MAX(0.02,MIN(0.9,NORMINV(RAND(),$C$11,0.10)))</f>
        <v/>
      </c>
      <c r="H402" s="32">
        <f>MAX(0.02,MIN(0.98,NORMINV(RAND(),$C$13,0.15)))</f>
        <v/>
      </c>
      <c r="I402" s="32">
        <f>MAX(0,NORMINV(RAND(),$C$14,0.033))</f>
        <v/>
      </c>
      <c r="J402" s="33">
        <f>($C$7*$C$8/365)*F402</f>
        <v/>
      </c>
      <c r="K402" s="33">
        <f>$C$7*G402*$C$12*H402</f>
        <v/>
      </c>
      <c r="L402" s="33">
        <f>$C$7*I402*$C$15</f>
        <v/>
      </c>
      <c r="M402" s="33">
        <f>J402-K402-L402</f>
        <v/>
      </c>
    </row>
    <row r="403">
      <c r="E403" s="20" t="n">
        <v>395</v>
      </c>
      <c r="F403" s="32">
        <f>MAX(0.03,MIN(0.18,NORMINV(RAND(),$C$9,$C$10)))</f>
        <v/>
      </c>
      <c r="G403" s="32">
        <f>MAX(0.02,MIN(0.9,NORMINV(RAND(),$C$11,0.10)))</f>
        <v/>
      </c>
      <c r="H403" s="32">
        <f>MAX(0.02,MIN(0.98,NORMINV(RAND(),$C$13,0.15)))</f>
        <v/>
      </c>
      <c r="I403" s="32">
        <f>MAX(0,NORMINV(RAND(),$C$14,0.033))</f>
        <v/>
      </c>
      <c r="J403" s="33">
        <f>($C$7*$C$8/365)*F403</f>
        <v/>
      </c>
      <c r="K403" s="33">
        <f>$C$7*G403*$C$12*H403</f>
        <v/>
      </c>
      <c r="L403" s="33">
        <f>$C$7*I403*$C$15</f>
        <v/>
      </c>
      <c r="M403" s="33">
        <f>J403-K403-L403</f>
        <v/>
      </c>
    </row>
    <row r="404">
      <c r="E404" s="20" t="n">
        <v>396</v>
      </c>
      <c r="F404" s="32">
        <f>MAX(0.03,MIN(0.18,NORMINV(RAND(),$C$9,$C$10)))</f>
        <v/>
      </c>
      <c r="G404" s="32">
        <f>MAX(0.02,MIN(0.9,NORMINV(RAND(),$C$11,0.10)))</f>
        <v/>
      </c>
      <c r="H404" s="32">
        <f>MAX(0.02,MIN(0.98,NORMINV(RAND(),$C$13,0.15)))</f>
        <v/>
      </c>
      <c r="I404" s="32">
        <f>MAX(0,NORMINV(RAND(),$C$14,0.033))</f>
        <v/>
      </c>
      <c r="J404" s="33">
        <f>($C$7*$C$8/365)*F404</f>
        <v/>
      </c>
      <c r="K404" s="33">
        <f>$C$7*G404*$C$12*H404</f>
        <v/>
      </c>
      <c r="L404" s="33">
        <f>$C$7*I404*$C$15</f>
        <v/>
      </c>
      <c r="M404" s="33">
        <f>J404-K404-L404</f>
        <v/>
      </c>
    </row>
    <row r="405">
      <c r="E405" s="20" t="n">
        <v>397</v>
      </c>
      <c r="F405" s="32">
        <f>MAX(0.03,MIN(0.18,NORMINV(RAND(),$C$9,$C$10)))</f>
        <v/>
      </c>
      <c r="G405" s="32">
        <f>MAX(0.02,MIN(0.9,NORMINV(RAND(),$C$11,0.10)))</f>
        <v/>
      </c>
      <c r="H405" s="32">
        <f>MAX(0.02,MIN(0.98,NORMINV(RAND(),$C$13,0.15)))</f>
        <v/>
      </c>
      <c r="I405" s="32">
        <f>MAX(0,NORMINV(RAND(),$C$14,0.033))</f>
        <v/>
      </c>
      <c r="J405" s="33">
        <f>($C$7*$C$8/365)*F405</f>
        <v/>
      </c>
      <c r="K405" s="33">
        <f>$C$7*G405*$C$12*H405</f>
        <v/>
      </c>
      <c r="L405" s="33">
        <f>$C$7*I405*$C$15</f>
        <v/>
      </c>
      <c r="M405" s="33">
        <f>J405-K405-L405</f>
        <v/>
      </c>
    </row>
    <row r="406">
      <c r="E406" s="20" t="n">
        <v>398</v>
      </c>
      <c r="F406" s="32">
        <f>MAX(0.03,MIN(0.18,NORMINV(RAND(),$C$9,$C$10)))</f>
        <v/>
      </c>
      <c r="G406" s="32">
        <f>MAX(0.02,MIN(0.9,NORMINV(RAND(),$C$11,0.10)))</f>
        <v/>
      </c>
      <c r="H406" s="32">
        <f>MAX(0.02,MIN(0.98,NORMINV(RAND(),$C$13,0.15)))</f>
        <v/>
      </c>
      <c r="I406" s="32">
        <f>MAX(0,NORMINV(RAND(),$C$14,0.033))</f>
        <v/>
      </c>
      <c r="J406" s="33">
        <f>($C$7*$C$8/365)*F406</f>
        <v/>
      </c>
      <c r="K406" s="33">
        <f>$C$7*G406*$C$12*H406</f>
        <v/>
      </c>
      <c r="L406" s="33">
        <f>$C$7*I406*$C$15</f>
        <v/>
      </c>
      <c r="M406" s="33">
        <f>J406-K406-L406</f>
        <v/>
      </c>
    </row>
    <row r="407">
      <c r="E407" s="20" t="n">
        <v>399</v>
      </c>
      <c r="F407" s="32">
        <f>MAX(0.03,MIN(0.18,NORMINV(RAND(),$C$9,$C$10)))</f>
        <v/>
      </c>
      <c r="G407" s="32">
        <f>MAX(0.02,MIN(0.9,NORMINV(RAND(),$C$11,0.10)))</f>
        <v/>
      </c>
      <c r="H407" s="32">
        <f>MAX(0.02,MIN(0.98,NORMINV(RAND(),$C$13,0.15)))</f>
        <v/>
      </c>
      <c r="I407" s="32">
        <f>MAX(0,NORMINV(RAND(),$C$14,0.033))</f>
        <v/>
      </c>
      <c r="J407" s="33">
        <f>($C$7*$C$8/365)*F407</f>
        <v/>
      </c>
      <c r="K407" s="33">
        <f>$C$7*G407*$C$12*H407</f>
        <v/>
      </c>
      <c r="L407" s="33">
        <f>$C$7*I407*$C$15</f>
        <v/>
      </c>
      <c r="M407" s="33">
        <f>J407-K407-L407</f>
        <v/>
      </c>
    </row>
    <row r="408">
      <c r="E408" s="20" t="n">
        <v>400</v>
      </c>
      <c r="F408" s="32">
        <f>MAX(0.03,MIN(0.18,NORMINV(RAND(),$C$9,$C$10)))</f>
        <v/>
      </c>
      <c r="G408" s="32">
        <f>MAX(0.02,MIN(0.9,NORMINV(RAND(),$C$11,0.10)))</f>
        <v/>
      </c>
      <c r="H408" s="32">
        <f>MAX(0.02,MIN(0.98,NORMINV(RAND(),$C$13,0.15)))</f>
        <v/>
      </c>
      <c r="I408" s="32">
        <f>MAX(0,NORMINV(RAND(),$C$14,0.033))</f>
        <v/>
      </c>
      <c r="J408" s="33">
        <f>($C$7*$C$8/365)*F408</f>
        <v/>
      </c>
      <c r="K408" s="33">
        <f>$C$7*G408*$C$12*H408</f>
        <v/>
      </c>
      <c r="L408" s="33">
        <f>$C$7*I408*$C$15</f>
        <v/>
      </c>
      <c r="M408" s="33">
        <f>J408-K408-L408</f>
        <v/>
      </c>
    </row>
    <row r="409">
      <c r="E409" s="20" t="n">
        <v>401</v>
      </c>
      <c r="F409" s="32">
        <f>MAX(0.03,MIN(0.18,NORMINV(RAND(),$C$9,$C$10)))</f>
        <v/>
      </c>
      <c r="G409" s="32">
        <f>MAX(0.02,MIN(0.9,NORMINV(RAND(),$C$11,0.10)))</f>
        <v/>
      </c>
      <c r="H409" s="32">
        <f>MAX(0.02,MIN(0.98,NORMINV(RAND(),$C$13,0.15)))</f>
        <v/>
      </c>
      <c r="I409" s="32">
        <f>MAX(0,NORMINV(RAND(),$C$14,0.033))</f>
        <v/>
      </c>
      <c r="J409" s="33">
        <f>($C$7*$C$8/365)*F409</f>
        <v/>
      </c>
      <c r="K409" s="33">
        <f>$C$7*G409*$C$12*H409</f>
        <v/>
      </c>
      <c r="L409" s="33">
        <f>$C$7*I409*$C$15</f>
        <v/>
      </c>
      <c r="M409" s="33">
        <f>J409-K409-L409</f>
        <v/>
      </c>
    </row>
    <row r="410">
      <c r="E410" s="20" t="n">
        <v>402</v>
      </c>
      <c r="F410" s="32">
        <f>MAX(0.03,MIN(0.18,NORMINV(RAND(),$C$9,$C$10)))</f>
        <v/>
      </c>
      <c r="G410" s="32">
        <f>MAX(0.02,MIN(0.9,NORMINV(RAND(),$C$11,0.10)))</f>
        <v/>
      </c>
      <c r="H410" s="32">
        <f>MAX(0.02,MIN(0.98,NORMINV(RAND(),$C$13,0.15)))</f>
        <v/>
      </c>
      <c r="I410" s="32">
        <f>MAX(0,NORMINV(RAND(),$C$14,0.033))</f>
        <v/>
      </c>
      <c r="J410" s="33">
        <f>($C$7*$C$8/365)*F410</f>
        <v/>
      </c>
      <c r="K410" s="33">
        <f>$C$7*G410*$C$12*H410</f>
        <v/>
      </c>
      <c r="L410" s="33">
        <f>$C$7*I410*$C$15</f>
        <v/>
      </c>
      <c r="M410" s="33">
        <f>J410-K410-L410</f>
        <v/>
      </c>
    </row>
    <row r="411">
      <c r="E411" s="20" t="n">
        <v>403</v>
      </c>
      <c r="F411" s="32">
        <f>MAX(0.03,MIN(0.18,NORMINV(RAND(),$C$9,$C$10)))</f>
        <v/>
      </c>
      <c r="G411" s="32">
        <f>MAX(0.02,MIN(0.9,NORMINV(RAND(),$C$11,0.10)))</f>
        <v/>
      </c>
      <c r="H411" s="32">
        <f>MAX(0.02,MIN(0.98,NORMINV(RAND(),$C$13,0.15)))</f>
        <v/>
      </c>
      <c r="I411" s="32">
        <f>MAX(0,NORMINV(RAND(),$C$14,0.033))</f>
        <v/>
      </c>
      <c r="J411" s="33">
        <f>($C$7*$C$8/365)*F411</f>
        <v/>
      </c>
      <c r="K411" s="33">
        <f>$C$7*G411*$C$12*H411</f>
        <v/>
      </c>
      <c r="L411" s="33">
        <f>$C$7*I411*$C$15</f>
        <v/>
      </c>
      <c r="M411" s="33">
        <f>J411-K411-L411</f>
        <v/>
      </c>
    </row>
    <row r="412">
      <c r="E412" s="20" t="n">
        <v>404</v>
      </c>
      <c r="F412" s="32">
        <f>MAX(0.03,MIN(0.18,NORMINV(RAND(),$C$9,$C$10)))</f>
        <v/>
      </c>
      <c r="G412" s="32">
        <f>MAX(0.02,MIN(0.9,NORMINV(RAND(),$C$11,0.10)))</f>
        <v/>
      </c>
      <c r="H412" s="32">
        <f>MAX(0.02,MIN(0.98,NORMINV(RAND(),$C$13,0.15)))</f>
        <v/>
      </c>
      <c r="I412" s="32">
        <f>MAX(0,NORMINV(RAND(),$C$14,0.033))</f>
        <v/>
      </c>
      <c r="J412" s="33">
        <f>($C$7*$C$8/365)*F412</f>
        <v/>
      </c>
      <c r="K412" s="33">
        <f>$C$7*G412*$C$12*H412</f>
        <v/>
      </c>
      <c r="L412" s="33">
        <f>$C$7*I412*$C$15</f>
        <v/>
      </c>
      <c r="M412" s="33">
        <f>J412-K412-L412</f>
        <v/>
      </c>
    </row>
    <row r="413">
      <c r="E413" s="20" t="n">
        <v>405</v>
      </c>
      <c r="F413" s="32">
        <f>MAX(0.03,MIN(0.18,NORMINV(RAND(),$C$9,$C$10)))</f>
        <v/>
      </c>
      <c r="G413" s="32">
        <f>MAX(0.02,MIN(0.9,NORMINV(RAND(),$C$11,0.10)))</f>
        <v/>
      </c>
      <c r="H413" s="32">
        <f>MAX(0.02,MIN(0.98,NORMINV(RAND(),$C$13,0.15)))</f>
        <v/>
      </c>
      <c r="I413" s="32">
        <f>MAX(0,NORMINV(RAND(),$C$14,0.033))</f>
        <v/>
      </c>
      <c r="J413" s="33">
        <f>($C$7*$C$8/365)*F413</f>
        <v/>
      </c>
      <c r="K413" s="33">
        <f>$C$7*G413*$C$12*H413</f>
        <v/>
      </c>
      <c r="L413" s="33">
        <f>$C$7*I413*$C$15</f>
        <v/>
      </c>
      <c r="M413" s="33">
        <f>J413-K413-L413</f>
        <v/>
      </c>
    </row>
    <row r="414">
      <c r="E414" s="20" t="n">
        <v>406</v>
      </c>
      <c r="F414" s="32">
        <f>MAX(0.03,MIN(0.18,NORMINV(RAND(),$C$9,$C$10)))</f>
        <v/>
      </c>
      <c r="G414" s="32">
        <f>MAX(0.02,MIN(0.9,NORMINV(RAND(),$C$11,0.10)))</f>
        <v/>
      </c>
      <c r="H414" s="32">
        <f>MAX(0.02,MIN(0.98,NORMINV(RAND(),$C$13,0.15)))</f>
        <v/>
      </c>
      <c r="I414" s="32">
        <f>MAX(0,NORMINV(RAND(),$C$14,0.033))</f>
        <v/>
      </c>
      <c r="J414" s="33">
        <f>($C$7*$C$8/365)*F414</f>
        <v/>
      </c>
      <c r="K414" s="33">
        <f>$C$7*G414*$C$12*H414</f>
        <v/>
      </c>
      <c r="L414" s="33">
        <f>$C$7*I414*$C$15</f>
        <v/>
      </c>
      <c r="M414" s="33">
        <f>J414-K414-L414</f>
        <v/>
      </c>
    </row>
    <row r="415">
      <c r="E415" s="20" t="n">
        <v>407</v>
      </c>
      <c r="F415" s="32">
        <f>MAX(0.03,MIN(0.18,NORMINV(RAND(),$C$9,$C$10)))</f>
        <v/>
      </c>
      <c r="G415" s="32">
        <f>MAX(0.02,MIN(0.9,NORMINV(RAND(),$C$11,0.10)))</f>
        <v/>
      </c>
      <c r="H415" s="32">
        <f>MAX(0.02,MIN(0.98,NORMINV(RAND(),$C$13,0.15)))</f>
        <v/>
      </c>
      <c r="I415" s="32">
        <f>MAX(0,NORMINV(RAND(),$C$14,0.033))</f>
        <v/>
      </c>
      <c r="J415" s="33">
        <f>($C$7*$C$8/365)*F415</f>
        <v/>
      </c>
      <c r="K415" s="33">
        <f>$C$7*G415*$C$12*H415</f>
        <v/>
      </c>
      <c r="L415" s="33">
        <f>$C$7*I415*$C$15</f>
        <v/>
      </c>
      <c r="M415" s="33">
        <f>J415-K415-L415</f>
        <v/>
      </c>
    </row>
    <row r="416">
      <c r="E416" s="20" t="n">
        <v>408</v>
      </c>
      <c r="F416" s="32">
        <f>MAX(0.03,MIN(0.18,NORMINV(RAND(),$C$9,$C$10)))</f>
        <v/>
      </c>
      <c r="G416" s="32">
        <f>MAX(0.02,MIN(0.9,NORMINV(RAND(),$C$11,0.10)))</f>
        <v/>
      </c>
      <c r="H416" s="32">
        <f>MAX(0.02,MIN(0.98,NORMINV(RAND(),$C$13,0.15)))</f>
        <v/>
      </c>
      <c r="I416" s="32">
        <f>MAX(0,NORMINV(RAND(),$C$14,0.033))</f>
        <v/>
      </c>
      <c r="J416" s="33">
        <f>($C$7*$C$8/365)*F416</f>
        <v/>
      </c>
      <c r="K416" s="33">
        <f>$C$7*G416*$C$12*H416</f>
        <v/>
      </c>
      <c r="L416" s="33">
        <f>$C$7*I416*$C$15</f>
        <v/>
      </c>
      <c r="M416" s="33">
        <f>J416-K416-L416</f>
        <v/>
      </c>
    </row>
    <row r="417">
      <c r="E417" s="20" t="n">
        <v>409</v>
      </c>
      <c r="F417" s="32">
        <f>MAX(0.03,MIN(0.18,NORMINV(RAND(),$C$9,$C$10)))</f>
        <v/>
      </c>
      <c r="G417" s="32">
        <f>MAX(0.02,MIN(0.9,NORMINV(RAND(),$C$11,0.10)))</f>
        <v/>
      </c>
      <c r="H417" s="32">
        <f>MAX(0.02,MIN(0.98,NORMINV(RAND(),$C$13,0.15)))</f>
        <v/>
      </c>
      <c r="I417" s="32">
        <f>MAX(0,NORMINV(RAND(),$C$14,0.033))</f>
        <v/>
      </c>
      <c r="J417" s="33">
        <f>($C$7*$C$8/365)*F417</f>
        <v/>
      </c>
      <c r="K417" s="33">
        <f>$C$7*G417*$C$12*H417</f>
        <v/>
      </c>
      <c r="L417" s="33">
        <f>$C$7*I417*$C$15</f>
        <v/>
      </c>
      <c r="M417" s="33">
        <f>J417-K417-L417</f>
        <v/>
      </c>
    </row>
    <row r="418">
      <c r="E418" s="20" t="n">
        <v>410</v>
      </c>
      <c r="F418" s="32">
        <f>MAX(0.03,MIN(0.18,NORMINV(RAND(),$C$9,$C$10)))</f>
        <v/>
      </c>
      <c r="G418" s="32">
        <f>MAX(0.02,MIN(0.9,NORMINV(RAND(),$C$11,0.10)))</f>
        <v/>
      </c>
      <c r="H418" s="32">
        <f>MAX(0.02,MIN(0.98,NORMINV(RAND(),$C$13,0.15)))</f>
        <v/>
      </c>
      <c r="I418" s="32">
        <f>MAX(0,NORMINV(RAND(),$C$14,0.033))</f>
        <v/>
      </c>
      <c r="J418" s="33">
        <f>($C$7*$C$8/365)*F418</f>
        <v/>
      </c>
      <c r="K418" s="33">
        <f>$C$7*G418*$C$12*H418</f>
        <v/>
      </c>
      <c r="L418" s="33">
        <f>$C$7*I418*$C$15</f>
        <v/>
      </c>
      <c r="M418" s="33">
        <f>J418-K418-L418</f>
        <v/>
      </c>
    </row>
    <row r="419">
      <c r="E419" s="20" t="n">
        <v>411</v>
      </c>
      <c r="F419" s="32">
        <f>MAX(0.03,MIN(0.18,NORMINV(RAND(),$C$9,$C$10)))</f>
        <v/>
      </c>
      <c r="G419" s="32">
        <f>MAX(0.02,MIN(0.9,NORMINV(RAND(),$C$11,0.10)))</f>
        <v/>
      </c>
      <c r="H419" s="32">
        <f>MAX(0.02,MIN(0.98,NORMINV(RAND(),$C$13,0.15)))</f>
        <v/>
      </c>
      <c r="I419" s="32">
        <f>MAX(0,NORMINV(RAND(),$C$14,0.033))</f>
        <v/>
      </c>
      <c r="J419" s="33">
        <f>($C$7*$C$8/365)*F419</f>
        <v/>
      </c>
      <c r="K419" s="33">
        <f>$C$7*G419*$C$12*H419</f>
        <v/>
      </c>
      <c r="L419" s="33">
        <f>$C$7*I419*$C$15</f>
        <v/>
      </c>
      <c r="M419" s="33">
        <f>J419-K419-L419</f>
        <v/>
      </c>
    </row>
    <row r="420">
      <c r="E420" s="20" t="n">
        <v>412</v>
      </c>
      <c r="F420" s="32">
        <f>MAX(0.03,MIN(0.18,NORMINV(RAND(),$C$9,$C$10)))</f>
        <v/>
      </c>
      <c r="G420" s="32">
        <f>MAX(0.02,MIN(0.9,NORMINV(RAND(),$C$11,0.10)))</f>
        <v/>
      </c>
      <c r="H420" s="32">
        <f>MAX(0.02,MIN(0.98,NORMINV(RAND(),$C$13,0.15)))</f>
        <v/>
      </c>
      <c r="I420" s="32">
        <f>MAX(0,NORMINV(RAND(),$C$14,0.033))</f>
        <v/>
      </c>
      <c r="J420" s="33">
        <f>($C$7*$C$8/365)*F420</f>
        <v/>
      </c>
      <c r="K420" s="33">
        <f>$C$7*G420*$C$12*H420</f>
        <v/>
      </c>
      <c r="L420" s="33">
        <f>$C$7*I420*$C$15</f>
        <v/>
      </c>
      <c r="M420" s="33">
        <f>J420-K420-L420</f>
        <v/>
      </c>
    </row>
    <row r="421">
      <c r="E421" s="20" t="n">
        <v>413</v>
      </c>
      <c r="F421" s="32">
        <f>MAX(0.03,MIN(0.18,NORMINV(RAND(),$C$9,$C$10)))</f>
        <v/>
      </c>
      <c r="G421" s="32">
        <f>MAX(0.02,MIN(0.9,NORMINV(RAND(),$C$11,0.10)))</f>
        <v/>
      </c>
      <c r="H421" s="32">
        <f>MAX(0.02,MIN(0.98,NORMINV(RAND(),$C$13,0.15)))</f>
        <v/>
      </c>
      <c r="I421" s="32">
        <f>MAX(0,NORMINV(RAND(),$C$14,0.033))</f>
        <v/>
      </c>
      <c r="J421" s="33">
        <f>($C$7*$C$8/365)*F421</f>
        <v/>
      </c>
      <c r="K421" s="33">
        <f>$C$7*G421*$C$12*H421</f>
        <v/>
      </c>
      <c r="L421" s="33">
        <f>$C$7*I421*$C$15</f>
        <v/>
      </c>
      <c r="M421" s="33">
        <f>J421-K421-L421</f>
        <v/>
      </c>
    </row>
    <row r="422">
      <c r="E422" s="20" t="n">
        <v>414</v>
      </c>
      <c r="F422" s="32">
        <f>MAX(0.03,MIN(0.18,NORMINV(RAND(),$C$9,$C$10)))</f>
        <v/>
      </c>
      <c r="G422" s="32">
        <f>MAX(0.02,MIN(0.9,NORMINV(RAND(),$C$11,0.10)))</f>
        <v/>
      </c>
      <c r="H422" s="32">
        <f>MAX(0.02,MIN(0.98,NORMINV(RAND(),$C$13,0.15)))</f>
        <v/>
      </c>
      <c r="I422" s="32">
        <f>MAX(0,NORMINV(RAND(),$C$14,0.033))</f>
        <v/>
      </c>
      <c r="J422" s="33">
        <f>($C$7*$C$8/365)*F422</f>
        <v/>
      </c>
      <c r="K422" s="33">
        <f>$C$7*G422*$C$12*H422</f>
        <v/>
      </c>
      <c r="L422" s="33">
        <f>$C$7*I422*$C$15</f>
        <v/>
      </c>
      <c r="M422" s="33">
        <f>J422-K422-L422</f>
        <v/>
      </c>
    </row>
    <row r="423">
      <c r="E423" s="20" t="n">
        <v>415</v>
      </c>
      <c r="F423" s="32">
        <f>MAX(0.03,MIN(0.18,NORMINV(RAND(),$C$9,$C$10)))</f>
        <v/>
      </c>
      <c r="G423" s="32">
        <f>MAX(0.02,MIN(0.9,NORMINV(RAND(),$C$11,0.10)))</f>
        <v/>
      </c>
      <c r="H423" s="32">
        <f>MAX(0.02,MIN(0.98,NORMINV(RAND(),$C$13,0.15)))</f>
        <v/>
      </c>
      <c r="I423" s="32">
        <f>MAX(0,NORMINV(RAND(),$C$14,0.033))</f>
        <v/>
      </c>
      <c r="J423" s="33">
        <f>($C$7*$C$8/365)*F423</f>
        <v/>
      </c>
      <c r="K423" s="33">
        <f>$C$7*G423*$C$12*H423</f>
        <v/>
      </c>
      <c r="L423" s="33">
        <f>$C$7*I423*$C$15</f>
        <v/>
      </c>
      <c r="M423" s="33">
        <f>J423-K423-L423</f>
        <v/>
      </c>
    </row>
    <row r="424">
      <c r="E424" s="20" t="n">
        <v>416</v>
      </c>
      <c r="F424" s="32">
        <f>MAX(0.03,MIN(0.18,NORMINV(RAND(),$C$9,$C$10)))</f>
        <v/>
      </c>
      <c r="G424" s="32">
        <f>MAX(0.02,MIN(0.9,NORMINV(RAND(),$C$11,0.10)))</f>
        <v/>
      </c>
      <c r="H424" s="32">
        <f>MAX(0.02,MIN(0.98,NORMINV(RAND(),$C$13,0.15)))</f>
        <v/>
      </c>
      <c r="I424" s="32">
        <f>MAX(0,NORMINV(RAND(),$C$14,0.033))</f>
        <v/>
      </c>
      <c r="J424" s="33">
        <f>($C$7*$C$8/365)*F424</f>
        <v/>
      </c>
      <c r="K424" s="33">
        <f>$C$7*G424*$C$12*H424</f>
        <v/>
      </c>
      <c r="L424" s="33">
        <f>$C$7*I424*$C$15</f>
        <v/>
      </c>
      <c r="M424" s="33">
        <f>J424-K424-L424</f>
        <v/>
      </c>
    </row>
    <row r="425">
      <c r="E425" s="20" t="n">
        <v>417</v>
      </c>
      <c r="F425" s="32">
        <f>MAX(0.03,MIN(0.18,NORMINV(RAND(),$C$9,$C$10)))</f>
        <v/>
      </c>
      <c r="G425" s="32">
        <f>MAX(0.02,MIN(0.9,NORMINV(RAND(),$C$11,0.10)))</f>
        <v/>
      </c>
      <c r="H425" s="32">
        <f>MAX(0.02,MIN(0.98,NORMINV(RAND(),$C$13,0.15)))</f>
        <v/>
      </c>
      <c r="I425" s="32">
        <f>MAX(0,NORMINV(RAND(),$C$14,0.033))</f>
        <v/>
      </c>
      <c r="J425" s="33">
        <f>($C$7*$C$8/365)*F425</f>
        <v/>
      </c>
      <c r="K425" s="33">
        <f>$C$7*G425*$C$12*H425</f>
        <v/>
      </c>
      <c r="L425" s="33">
        <f>$C$7*I425*$C$15</f>
        <v/>
      </c>
      <c r="M425" s="33">
        <f>J425-K425-L425</f>
        <v/>
      </c>
    </row>
    <row r="426">
      <c r="E426" s="20" t="n">
        <v>418</v>
      </c>
      <c r="F426" s="32">
        <f>MAX(0.03,MIN(0.18,NORMINV(RAND(),$C$9,$C$10)))</f>
        <v/>
      </c>
      <c r="G426" s="32">
        <f>MAX(0.02,MIN(0.9,NORMINV(RAND(),$C$11,0.10)))</f>
        <v/>
      </c>
      <c r="H426" s="32">
        <f>MAX(0.02,MIN(0.98,NORMINV(RAND(),$C$13,0.15)))</f>
        <v/>
      </c>
      <c r="I426" s="32">
        <f>MAX(0,NORMINV(RAND(),$C$14,0.033))</f>
        <v/>
      </c>
      <c r="J426" s="33">
        <f>($C$7*$C$8/365)*F426</f>
        <v/>
      </c>
      <c r="K426" s="33">
        <f>$C$7*G426*$C$12*H426</f>
        <v/>
      </c>
      <c r="L426" s="33">
        <f>$C$7*I426*$C$15</f>
        <v/>
      </c>
      <c r="M426" s="33">
        <f>J426-K426-L426</f>
        <v/>
      </c>
    </row>
    <row r="427">
      <c r="E427" s="20" t="n">
        <v>419</v>
      </c>
      <c r="F427" s="32">
        <f>MAX(0.03,MIN(0.18,NORMINV(RAND(),$C$9,$C$10)))</f>
        <v/>
      </c>
      <c r="G427" s="32">
        <f>MAX(0.02,MIN(0.9,NORMINV(RAND(),$C$11,0.10)))</f>
        <v/>
      </c>
      <c r="H427" s="32">
        <f>MAX(0.02,MIN(0.98,NORMINV(RAND(),$C$13,0.15)))</f>
        <v/>
      </c>
      <c r="I427" s="32">
        <f>MAX(0,NORMINV(RAND(),$C$14,0.033))</f>
        <v/>
      </c>
      <c r="J427" s="33">
        <f>($C$7*$C$8/365)*F427</f>
        <v/>
      </c>
      <c r="K427" s="33">
        <f>$C$7*G427*$C$12*H427</f>
        <v/>
      </c>
      <c r="L427" s="33">
        <f>$C$7*I427*$C$15</f>
        <v/>
      </c>
      <c r="M427" s="33">
        <f>J427-K427-L427</f>
        <v/>
      </c>
    </row>
    <row r="428">
      <c r="E428" s="20" t="n">
        <v>420</v>
      </c>
      <c r="F428" s="32">
        <f>MAX(0.03,MIN(0.18,NORMINV(RAND(),$C$9,$C$10)))</f>
        <v/>
      </c>
      <c r="G428" s="32">
        <f>MAX(0.02,MIN(0.9,NORMINV(RAND(),$C$11,0.10)))</f>
        <v/>
      </c>
      <c r="H428" s="32">
        <f>MAX(0.02,MIN(0.98,NORMINV(RAND(),$C$13,0.15)))</f>
        <v/>
      </c>
      <c r="I428" s="32">
        <f>MAX(0,NORMINV(RAND(),$C$14,0.033))</f>
        <v/>
      </c>
      <c r="J428" s="33">
        <f>($C$7*$C$8/365)*F428</f>
        <v/>
      </c>
      <c r="K428" s="33">
        <f>$C$7*G428*$C$12*H428</f>
        <v/>
      </c>
      <c r="L428" s="33">
        <f>$C$7*I428*$C$15</f>
        <v/>
      </c>
      <c r="M428" s="33">
        <f>J428-K428-L428</f>
        <v/>
      </c>
    </row>
    <row r="429">
      <c r="E429" s="20" t="n">
        <v>421</v>
      </c>
      <c r="F429" s="32">
        <f>MAX(0.03,MIN(0.18,NORMINV(RAND(),$C$9,$C$10)))</f>
        <v/>
      </c>
      <c r="G429" s="32">
        <f>MAX(0.02,MIN(0.9,NORMINV(RAND(),$C$11,0.10)))</f>
        <v/>
      </c>
      <c r="H429" s="32">
        <f>MAX(0.02,MIN(0.98,NORMINV(RAND(),$C$13,0.15)))</f>
        <v/>
      </c>
      <c r="I429" s="32">
        <f>MAX(0,NORMINV(RAND(),$C$14,0.033))</f>
        <v/>
      </c>
      <c r="J429" s="33">
        <f>($C$7*$C$8/365)*F429</f>
        <v/>
      </c>
      <c r="K429" s="33">
        <f>$C$7*G429*$C$12*H429</f>
        <v/>
      </c>
      <c r="L429" s="33">
        <f>$C$7*I429*$C$15</f>
        <v/>
      </c>
      <c r="M429" s="33">
        <f>J429-K429-L429</f>
        <v/>
      </c>
    </row>
    <row r="430">
      <c r="E430" s="20" t="n">
        <v>422</v>
      </c>
      <c r="F430" s="32">
        <f>MAX(0.03,MIN(0.18,NORMINV(RAND(),$C$9,$C$10)))</f>
        <v/>
      </c>
      <c r="G430" s="32">
        <f>MAX(0.02,MIN(0.9,NORMINV(RAND(),$C$11,0.10)))</f>
        <v/>
      </c>
      <c r="H430" s="32">
        <f>MAX(0.02,MIN(0.98,NORMINV(RAND(),$C$13,0.15)))</f>
        <v/>
      </c>
      <c r="I430" s="32">
        <f>MAX(0,NORMINV(RAND(),$C$14,0.033))</f>
        <v/>
      </c>
      <c r="J430" s="33">
        <f>($C$7*$C$8/365)*F430</f>
        <v/>
      </c>
      <c r="K430" s="33">
        <f>$C$7*G430*$C$12*H430</f>
        <v/>
      </c>
      <c r="L430" s="33">
        <f>$C$7*I430*$C$15</f>
        <v/>
      </c>
      <c r="M430" s="33">
        <f>J430-K430-L430</f>
        <v/>
      </c>
    </row>
    <row r="431">
      <c r="E431" s="20" t="n">
        <v>423</v>
      </c>
      <c r="F431" s="32">
        <f>MAX(0.03,MIN(0.18,NORMINV(RAND(),$C$9,$C$10)))</f>
        <v/>
      </c>
      <c r="G431" s="32">
        <f>MAX(0.02,MIN(0.9,NORMINV(RAND(),$C$11,0.10)))</f>
        <v/>
      </c>
      <c r="H431" s="32">
        <f>MAX(0.02,MIN(0.98,NORMINV(RAND(),$C$13,0.15)))</f>
        <v/>
      </c>
      <c r="I431" s="32">
        <f>MAX(0,NORMINV(RAND(),$C$14,0.033))</f>
        <v/>
      </c>
      <c r="J431" s="33">
        <f>($C$7*$C$8/365)*F431</f>
        <v/>
      </c>
      <c r="K431" s="33">
        <f>$C$7*G431*$C$12*H431</f>
        <v/>
      </c>
      <c r="L431" s="33">
        <f>$C$7*I431*$C$15</f>
        <v/>
      </c>
      <c r="M431" s="33">
        <f>J431-K431-L431</f>
        <v/>
      </c>
    </row>
    <row r="432">
      <c r="E432" s="20" t="n">
        <v>424</v>
      </c>
      <c r="F432" s="32">
        <f>MAX(0.03,MIN(0.18,NORMINV(RAND(),$C$9,$C$10)))</f>
        <v/>
      </c>
      <c r="G432" s="32">
        <f>MAX(0.02,MIN(0.9,NORMINV(RAND(),$C$11,0.10)))</f>
        <v/>
      </c>
      <c r="H432" s="32">
        <f>MAX(0.02,MIN(0.98,NORMINV(RAND(),$C$13,0.15)))</f>
        <v/>
      </c>
      <c r="I432" s="32">
        <f>MAX(0,NORMINV(RAND(),$C$14,0.033))</f>
        <v/>
      </c>
      <c r="J432" s="33">
        <f>($C$7*$C$8/365)*F432</f>
        <v/>
      </c>
      <c r="K432" s="33">
        <f>$C$7*G432*$C$12*H432</f>
        <v/>
      </c>
      <c r="L432" s="33">
        <f>$C$7*I432*$C$15</f>
        <v/>
      </c>
      <c r="M432" s="33">
        <f>J432-K432-L432</f>
        <v/>
      </c>
    </row>
    <row r="433">
      <c r="E433" s="20" t="n">
        <v>425</v>
      </c>
      <c r="F433" s="32">
        <f>MAX(0.03,MIN(0.18,NORMINV(RAND(),$C$9,$C$10)))</f>
        <v/>
      </c>
      <c r="G433" s="32">
        <f>MAX(0.02,MIN(0.9,NORMINV(RAND(),$C$11,0.10)))</f>
        <v/>
      </c>
      <c r="H433" s="32">
        <f>MAX(0.02,MIN(0.98,NORMINV(RAND(),$C$13,0.15)))</f>
        <v/>
      </c>
      <c r="I433" s="32">
        <f>MAX(0,NORMINV(RAND(),$C$14,0.033))</f>
        <v/>
      </c>
      <c r="J433" s="33">
        <f>($C$7*$C$8/365)*F433</f>
        <v/>
      </c>
      <c r="K433" s="33">
        <f>$C$7*G433*$C$12*H433</f>
        <v/>
      </c>
      <c r="L433" s="33">
        <f>$C$7*I433*$C$15</f>
        <v/>
      </c>
      <c r="M433" s="33">
        <f>J433-K433-L433</f>
        <v/>
      </c>
    </row>
    <row r="434">
      <c r="E434" s="20" t="n">
        <v>426</v>
      </c>
      <c r="F434" s="32">
        <f>MAX(0.03,MIN(0.18,NORMINV(RAND(),$C$9,$C$10)))</f>
        <v/>
      </c>
      <c r="G434" s="32">
        <f>MAX(0.02,MIN(0.9,NORMINV(RAND(),$C$11,0.10)))</f>
        <v/>
      </c>
      <c r="H434" s="32">
        <f>MAX(0.02,MIN(0.98,NORMINV(RAND(),$C$13,0.15)))</f>
        <v/>
      </c>
      <c r="I434" s="32">
        <f>MAX(0,NORMINV(RAND(),$C$14,0.033))</f>
        <v/>
      </c>
      <c r="J434" s="33">
        <f>($C$7*$C$8/365)*F434</f>
        <v/>
      </c>
      <c r="K434" s="33">
        <f>$C$7*G434*$C$12*H434</f>
        <v/>
      </c>
      <c r="L434" s="33">
        <f>$C$7*I434*$C$15</f>
        <v/>
      </c>
      <c r="M434" s="33">
        <f>J434-K434-L434</f>
        <v/>
      </c>
    </row>
    <row r="435">
      <c r="E435" s="20" t="n">
        <v>427</v>
      </c>
      <c r="F435" s="32">
        <f>MAX(0.03,MIN(0.18,NORMINV(RAND(),$C$9,$C$10)))</f>
        <v/>
      </c>
      <c r="G435" s="32">
        <f>MAX(0.02,MIN(0.9,NORMINV(RAND(),$C$11,0.10)))</f>
        <v/>
      </c>
      <c r="H435" s="32">
        <f>MAX(0.02,MIN(0.98,NORMINV(RAND(),$C$13,0.15)))</f>
        <v/>
      </c>
      <c r="I435" s="32">
        <f>MAX(0,NORMINV(RAND(),$C$14,0.033))</f>
        <v/>
      </c>
      <c r="J435" s="33">
        <f>($C$7*$C$8/365)*F435</f>
        <v/>
      </c>
      <c r="K435" s="33">
        <f>$C$7*G435*$C$12*H435</f>
        <v/>
      </c>
      <c r="L435" s="33">
        <f>$C$7*I435*$C$15</f>
        <v/>
      </c>
      <c r="M435" s="33">
        <f>J435-K435-L435</f>
        <v/>
      </c>
    </row>
    <row r="436">
      <c r="E436" s="20" t="n">
        <v>428</v>
      </c>
      <c r="F436" s="32">
        <f>MAX(0.03,MIN(0.18,NORMINV(RAND(),$C$9,$C$10)))</f>
        <v/>
      </c>
      <c r="G436" s="32">
        <f>MAX(0.02,MIN(0.9,NORMINV(RAND(),$C$11,0.10)))</f>
        <v/>
      </c>
      <c r="H436" s="32">
        <f>MAX(0.02,MIN(0.98,NORMINV(RAND(),$C$13,0.15)))</f>
        <v/>
      </c>
      <c r="I436" s="32">
        <f>MAX(0,NORMINV(RAND(),$C$14,0.033))</f>
        <v/>
      </c>
      <c r="J436" s="33">
        <f>($C$7*$C$8/365)*F436</f>
        <v/>
      </c>
      <c r="K436" s="33">
        <f>$C$7*G436*$C$12*H436</f>
        <v/>
      </c>
      <c r="L436" s="33">
        <f>$C$7*I436*$C$15</f>
        <v/>
      </c>
      <c r="M436" s="33">
        <f>J436-K436-L436</f>
        <v/>
      </c>
    </row>
    <row r="437">
      <c r="E437" s="20" t="n">
        <v>429</v>
      </c>
      <c r="F437" s="32">
        <f>MAX(0.03,MIN(0.18,NORMINV(RAND(),$C$9,$C$10)))</f>
        <v/>
      </c>
      <c r="G437" s="32">
        <f>MAX(0.02,MIN(0.9,NORMINV(RAND(),$C$11,0.10)))</f>
        <v/>
      </c>
      <c r="H437" s="32">
        <f>MAX(0.02,MIN(0.98,NORMINV(RAND(),$C$13,0.15)))</f>
        <v/>
      </c>
      <c r="I437" s="32">
        <f>MAX(0,NORMINV(RAND(),$C$14,0.033))</f>
        <v/>
      </c>
      <c r="J437" s="33">
        <f>($C$7*$C$8/365)*F437</f>
        <v/>
      </c>
      <c r="K437" s="33">
        <f>$C$7*G437*$C$12*H437</f>
        <v/>
      </c>
      <c r="L437" s="33">
        <f>$C$7*I437*$C$15</f>
        <v/>
      </c>
      <c r="M437" s="33">
        <f>J437-K437-L437</f>
        <v/>
      </c>
    </row>
    <row r="438">
      <c r="E438" s="20" t="n">
        <v>430</v>
      </c>
      <c r="F438" s="32">
        <f>MAX(0.03,MIN(0.18,NORMINV(RAND(),$C$9,$C$10)))</f>
        <v/>
      </c>
      <c r="G438" s="32">
        <f>MAX(0.02,MIN(0.9,NORMINV(RAND(),$C$11,0.10)))</f>
        <v/>
      </c>
      <c r="H438" s="32">
        <f>MAX(0.02,MIN(0.98,NORMINV(RAND(),$C$13,0.15)))</f>
        <v/>
      </c>
      <c r="I438" s="32">
        <f>MAX(0,NORMINV(RAND(),$C$14,0.033))</f>
        <v/>
      </c>
      <c r="J438" s="33">
        <f>($C$7*$C$8/365)*F438</f>
        <v/>
      </c>
      <c r="K438" s="33">
        <f>$C$7*G438*$C$12*H438</f>
        <v/>
      </c>
      <c r="L438" s="33">
        <f>$C$7*I438*$C$15</f>
        <v/>
      </c>
      <c r="M438" s="33">
        <f>J438-K438-L438</f>
        <v/>
      </c>
    </row>
    <row r="439">
      <c r="E439" s="20" t="n">
        <v>431</v>
      </c>
      <c r="F439" s="32">
        <f>MAX(0.03,MIN(0.18,NORMINV(RAND(),$C$9,$C$10)))</f>
        <v/>
      </c>
      <c r="G439" s="32">
        <f>MAX(0.02,MIN(0.9,NORMINV(RAND(),$C$11,0.10)))</f>
        <v/>
      </c>
      <c r="H439" s="32">
        <f>MAX(0.02,MIN(0.98,NORMINV(RAND(),$C$13,0.15)))</f>
        <v/>
      </c>
      <c r="I439" s="32">
        <f>MAX(0,NORMINV(RAND(),$C$14,0.033))</f>
        <v/>
      </c>
      <c r="J439" s="33">
        <f>($C$7*$C$8/365)*F439</f>
        <v/>
      </c>
      <c r="K439" s="33">
        <f>$C$7*G439*$C$12*H439</f>
        <v/>
      </c>
      <c r="L439" s="33">
        <f>$C$7*I439*$C$15</f>
        <v/>
      </c>
      <c r="M439" s="33">
        <f>J439-K439-L439</f>
        <v/>
      </c>
    </row>
    <row r="440">
      <c r="E440" s="20" t="n">
        <v>432</v>
      </c>
      <c r="F440" s="32">
        <f>MAX(0.03,MIN(0.18,NORMINV(RAND(),$C$9,$C$10)))</f>
        <v/>
      </c>
      <c r="G440" s="32">
        <f>MAX(0.02,MIN(0.9,NORMINV(RAND(),$C$11,0.10)))</f>
        <v/>
      </c>
      <c r="H440" s="32">
        <f>MAX(0.02,MIN(0.98,NORMINV(RAND(),$C$13,0.15)))</f>
        <v/>
      </c>
      <c r="I440" s="32">
        <f>MAX(0,NORMINV(RAND(),$C$14,0.033))</f>
        <v/>
      </c>
      <c r="J440" s="33">
        <f>($C$7*$C$8/365)*F440</f>
        <v/>
      </c>
      <c r="K440" s="33">
        <f>$C$7*G440*$C$12*H440</f>
        <v/>
      </c>
      <c r="L440" s="33">
        <f>$C$7*I440*$C$15</f>
        <v/>
      </c>
      <c r="M440" s="33">
        <f>J440-K440-L440</f>
        <v/>
      </c>
    </row>
    <row r="441">
      <c r="E441" s="20" t="n">
        <v>433</v>
      </c>
      <c r="F441" s="32">
        <f>MAX(0.03,MIN(0.18,NORMINV(RAND(),$C$9,$C$10)))</f>
        <v/>
      </c>
      <c r="G441" s="32">
        <f>MAX(0.02,MIN(0.9,NORMINV(RAND(),$C$11,0.10)))</f>
        <v/>
      </c>
      <c r="H441" s="32">
        <f>MAX(0.02,MIN(0.98,NORMINV(RAND(),$C$13,0.15)))</f>
        <v/>
      </c>
      <c r="I441" s="32">
        <f>MAX(0,NORMINV(RAND(),$C$14,0.033))</f>
        <v/>
      </c>
      <c r="J441" s="33">
        <f>($C$7*$C$8/365)*F441</f>
        <v/>
      </c>
      <c r="K441" s="33">
        <f>$C$7*G441*$C$12*H441</f>
        <v/>
      </c>
      <c r="L441" s="33">
        <f>$C$7*I441*$C$15</f>
        <v/>
      </c>
      <c r="M441" s="33">
        <f>J441-K441-L441</f>
        <v/>
      </c>
    </row>
    <row r="442">
      <c r="E442" s="20" t="n">
        <v>434</v>
      </c>
      <c r="F442" s="32">
        <f>MAX(0.03,MIN(0.18,NORMINV(RAND(),$C$9,$C$10)))</f>
        <v/>
      </c>
      <c r="G442" s="32">
        <f>MAX(0.02,MIN(0.9,NORMINV(RAND(),$C$11,0.10)))</f>
        <v/>
      </c>
      <c r="H442" s="32">
        <f>MAX(0.02,MIN(0.98,NORMINV(RAND(),$C$13,0.15)))</f>
        <v/>
      </c>
      <c r="I442" s="32">
        <f>MAX(0,NORMINV(RAND(),$C$14,0.033))</f>
        <v/>
      </c>
      <c r="J442" s="33">
        <f>($C$7*$C$8/365)*F442</f>
        <v/>
      </c>
      <c r="K442" s="33">
        <f>$C$7*G442*$C$12*H442</f>
        <v/>
      </c>
      <c r="L442" s="33">
        <f>$C$7*I442*$C$15</f>
        <v/>
      </c>
      <c r="M442" s="33">
        <f>J442-K442-L442</f>
        <v/>
      </c>
    </row>
    <row r="443">
      <c r="E443" s="20" t="n">
        <v>435</v>
      </c>
      <c r="F443" s="32">
        <f>MAX(0.03,MIN(0.18,NORMINV(RAND(),$C$9,$C$10)))</f>
        <v/>
      </c>
      <c r="G443" s="32">
        <f>MAX(0.02,MIN(0.9,NORMINV(RAND(),$C$11,0.10)))</f>
        <v/>
      </c>
      <c r="H443" s="32">
        <f>MAX(0.02,MIN(0.98,NORMINV(RAND(),$C$13,0.15)))</f>
        <v/>
      </c>
      <c r="I443" s="32">
        <f>MAX(0,NORMINV(RAND(),$C$14,0.033))</f>
        <v/>
      </c>
      <c r="J443" s="33">
        <f>($C$7*$C$8/365)*F443</f>
        <v/>
      </c>
      <c r="K443" s="33">
        <f>$C$7*G443*$C$12*H443</f>
        <v/>
      </c>
      <c r="L443" s="33">
        <f>$C$7*I443*$C$15</f>
        <v/>
      </c>
      <c r="M443" s="33">
        <f>J443-K443-L443</f>
        <v/>
      </c>
    </row>
    <row r="444">
      <c r="E444" s="20" t="n">
        <v>436</v>
      </c>
      <c r="F444" s="32">
        <f>MAX(0.03,MIN(0.18,NORMINV(RAND(),$C$9,$C$10)))</f>
        <v/>
      </c>
      <c r="G444" s="32">
        <f>MAX(0.02,MIN(0.9,NORMINV(RAND(),$C$11,0.10)))</f>
        <v/>
      </c>
      <c r="H444" s="32">
        <f>MAX(0.02,MIN(0.98,NORMINV(RAND(),$C$13,0.15)))</f>
        <v/>
      </c>
      <c r="I444" s="32">
        <f>MAX(0,NORMINV(RAND(),$C$14,0.033))</f>
        <v/>
      </c>
      <c r="J444" s="33">
        <f>($C$7*$C$8/365)*F444</f>
        <v/>
      </c>
      <c r="K444" s="33">
        <f>$C$7*G444*$C$12*H444</f>
        <v/>
      </c>
      <c r="L444" s="33">
        <f>$C$7*I444*$C$15</f>
        <v/>
      </c>
      <c r="M444" s="33">
        <f>J444-K444-L444</f>
        <v/>
      </c>
    </row>
    <row r="445">
      <c r="E445" s="20" t="n">
        <v>437</v>
      </c>
      <c r="F445" s="32">
        <f>MAX(0.03,MIN(0.18,NORMINV(RAND(),$C$9,$C$10)))</f>
        <v/>
      </c>
      <c r="G445" s="32">
        <f>MAX(0.02,MIN(0.9,NORMINV(RAND(),$C$11,0.10)))</f>
        <v/>
      </c>
      <c r="H445" s="32">
        <f>MAX(0.02,MIN(0.98,NORMINV(RAND(),$C$13,0.15)))</f>
        <v/>
      </c>
      <c r="I445" s="32">
        <f>MAX(0,NORMINV(RAND(),$C$14,0.033))</f>
        <v/>
      </c>
      <c r="J445" s="33">
        <f>($C$7*$C$8/365)*F445</f>
        <v/>
      </c>
      <c r="K445" s="33">
        <f>$C$7*G445*$C$12*H445</f>
        <v/>
      </c>
      <c r="L445" s="33">
        <f>$C$7*I445*$C$15</f>
        <v/>
      </c>
      <c r="M445" s="33">
        <f>J445-K445-L445</f>
        <v/>
      </c>
    </row>
    <row r="446">
      <c r="E446" s="20" t="n">
        <v>438</v>
      </c>
      <c r="F446" s="32">
        <f>MAX(0.03,MIN(0.18,NORMINV(RAND(),$C$9,$C$10)))</f>
        <v/>
      </c>
      <c r="G446" s="32">
        <f>MAX(0.02,MIN(0.9,NORMINV(RAND(),$C$11,0.10)))</f>
        <v/>
      </c>
      <c r="H446" s="32">
        <f>MAX(0.02,MIN(0.98,NORMINV(RAND(),$C$13,0.15)))</f>
        <v/>
      </c>
      <c r="I446" s="32">
        <f>MAX(0,NORMINV(RAND(),$C$14,0.033))</f>
        <v/>
      </c>
      <c r="J446" s="33">
        <f>($C$7*$C$8/365)*F446</f>
        <v/>
      </c>
      <c r="K446" s="33">
        <f>$C$7*G446*$C$12*H446</f>
        <v/>
      </c>
      <c r="L446" s="33">
        <f>$C$7*I446*$C$15</f>
        <v/>
      </c>
      <c r="M446" s="33">
        <f>J446-K446-L446</f>
        <v/>
      </c>
    </row>
    <row r="447">
      <c r="E447" s="20" t="n">
        <v>439</v>
      </c>
      <c r="F447" s="32">
        <f>MAX(0.03,MIN(0.18,NORMINV(RAND(),$C$9,$C$10)))</f>
        <v/>
      </c>
      <c r="G447" s="32">
        <f>MAX(0.02,MIN(0.9,NORMINV(RAND(),$C$11,0.10)))</f>
        <v/>
      </c>
      <c r="H447" s="32">
        <f>MAX(0.02,MIN(0.98,NORMINV(RAND(),$C$13,0.15)))</f>
        <v/>
      </c>
      <c r="I447" s="32">
        <f>MAX(0,NORMINV(RAND(),$C$14,0.033))</f>
        <v/>
      </c>
      <c r="J447" s="33">
        <f>($C$7*$C$8/365)*F447</f>
        <v/>
      </c>
      <c r="K447" s="33">
        <f>$C$7*G447*$C$12*H447</f>
        <v/>
      </c>
      <c r="L447" s="33">
        <f>$C$7*I447*$C$15</f>
        <v/>
      </c>
      <c r="M447" s="33">
        <f>J447-K447-L447</f>
        <v/>
      </c>
    </row>
    <row r="448">
      <c r="E448" s="20" t="n">
        <v>440</v>
      </c>
      <c r="F448" s="32">
        <f>MAX(0.03,MIN(0.18,NORMINV(RAND(),$C$9,$C$10)))</f>
        <v/>
      </c>
      <c r="G448" s="32">
        <f>MAX(0.02,MIN(0.9,NORMINV(RAND(),$C$11,0.10)))</f>
        <v/>
      </c>
      <c r="H448" s="32">
        <f>MAX(0.02,MIN(0.98,NORMINV(RAND(),$C$13,0.15)))</f>
        <v/>
      </c>
      <c r="I448" s="32">
        <f>MAX(0,NORMINV(RAND(),$C$14,0.033))</f>
        <v/>
      </c>
      <c r="J448" s="33">
        <f>($C$7*$C$8/365)*F448</f>
        <v/>
      </c>
      <c r="K448" s="33">
        <f>$C$7*G448*$C$12*H448</f>
        <v/>
      </c>
      <c r="L448" s="33">
        <f>$C$7*I448*$C$15</f>
        <v/>
      </c>
      <c r="M448" s="33">
        <f>J448-K448-L448</f>
        <v/>
      </c>
    </row>
    <row r="449">
      <c r="E449" s="20" t="n">
        <v>441</v>
      </c>
      <c r="F449" s="32">
        <f>MAX(0.03,MIN(0.18,NORMINV(RAND(),$C$9,$C$10)))</f>
        <v/>
      </c>
      <c r="G449" s="32">
        <f>MAX(0.02,MIN(0.9,NORMINV(RAND(),$C$11,0.10)))</f>
        <v/>
      </c>
      <c r="H449" s="32">
        <f>MAX(0.02,MIN(0.98,NORMINV(RAND(),$C$13,0.15)))</f>
        <v/>
      </c>
      <c r="I449" s="32">
        <f>MAX(0,NORMINV(RAND(),$C$14,0.033))</f>
        <v/>
      </c>
      <c r="J449" s="33">
        <f>($C$7*$C$8/365)*F449</f>
        <v/>
      </c>
      <c r="K449" s="33">
        <f>$C$7*G449*$C$12*H449</f>
        <v/>
      </c>
      <c r="L449" s="33">
        <f>$C$7*I449*$C$15</f>
        <v/>
      </c>
      <c r="M449" s="33">
        <f>J449-K449-L449</f>
        <v/>
      </c>
    </row>
    <row r="450">
      <c r="E450" s="20" t="n">
        <v>442</v>
      </c>
      <c r="F450" s="32">
        <f>MAX(0.03,MIN(0.18,NORMINV(RAND(),$C$9,$C$10)))</f>
        <v/>
      </c>
      <c r="G450" s="32">
        <f>MAX(0.02,MIN(0.9,NORMINV(RAND(),$C$11,0.10)))</f>
        <v/>
      </c>
      <c r="H450" s="32">
        <f>MAX(0.02,MIN(0.98,NORMINV(RAND(),$C$13,0.15)))</f>
        <v/>
      </c>
      <c r="I450" s="32">
        <f>MAX(0,NORMINV(RAND(),$C$14,0.033))</f>
        <v/>
      </c>
      <c r="J450" s="33">
        <f>($C$7*$C$8/365)*F450</f>
        <v/>
      </c>
      <c r="K450" s="33">
        <f>$C$7*G450*$C$12*H450</f>
        <v/>
      </c>
      <c r="L450" s="33">
        <f>$C$7*I450*$C$15</f>
        <v/>
      </c>
      <c r="M450" s="33">
        <f>J450-K450-L450</f>
        <v/>
      </c>
    </row>
    <row r="451">
      <c r="E451" s="20" t="n">
        <v>443</v>
      </c>
      <c r="F451" s="32">
        <f>MAX(0.03,MIN(0.18,NORMINV(RAND(),$C$9,$C$10)))</f>
        <v/>
      </c>
      <c r="G451" s="32">
        <f>MAX(0.02,MIN(0.9,NORMINV(RAND(),$C$11,0.10)))</f>
        <v/>
      </c>
      <c r="H451" s="32">
        <f>MAX(0.02,MIN(0.98,NORMINV(RAND(),$C$13,0.15)))</f>
        <v/>
      </c>
      <c r="I451" s="32">
        <f>MAX(0,NORMINV(RAND(),$C$14,0.033))</f>
        <v/>
      </c>
      <c r="J451" s="33">
        <f>($C$7*$C$8/365)*F451</f>
        <v/>
      </c>
      <c r="K451" s="33">
        <f>$C$7*G451*$C$12*H451</f>
        <v/>
      </c>
      <c r="L451" s="33">
        <f>$C$7*I451*$C$15</f>
        <v/>
      </c>
      <c r="M451" s="33">
        <f>J451-K451-L451</f>
        <v/>
      </c>
    </row>
    <row r="452">
      <c r="E452" s="20" t="n">
        <v>444</v>
      </c>
      <c r="F452" s="32">
        <f>MAX(0.03,MIN(0.18,NORMINV(RAND(),$C$9,$C$10)))</f>
        <v/>
      </c>
      <c r="G452" s="32">
        <f>MAX(0.02,MIN(0.9,NORMINV(RAND(),$C$11,0.10)))</f>
        <v/>
      </c>
      <c r="H452" s="32">
        <f>MAX(0.02,MIN(0.98,NORMINV(RAND(),$C$13,0.15)))</f>
        <v/>
      </c>
      <c r="I452" s="32">
        <f>MAX(0,NORMINV(RAND(),$C$14,0.033))</f>
        <v/>
      </c>
      <c r="J452" s="33">
        <f>($C$7*$C$8/365)*F452</f>
        <v/>
      </c>
      <c r="K452" s="33">
        <f>$C$7*G452*$C$12*H452</f>
        <v/>
      </c>
      <c r="L452" s="33">
        <f>$C$7*I452*$C$15</f>
        <v/>
      </c>
      <c r="M452" s="33">
        <f>J452-K452-L452</f>
        <v/>
      </c>
    </row>
    <row r="453">
      <c r="E453" s="20" t="n">
        <v>445</v>
      </c>
      <c r="F453" s="32">
        <f>MAX(0.03,MIN(0.18,NORMINV(RAND(),$C$9,$C$10)))</f>
        <v/>
      </c>
      <c r="G453" s="32">
        <f>MAX(0.02,MIN(0.9,NORMINV(RAND(),$C$11,0.10)))</f>
        <v/>
      </c>
      <c r="H453" s="32">
        <f>MAX(0.02,MIN(0.98,NORMINV(RAND(),$C$13,0.15)))</f>
        <v/>
      </c>
      <c r="I453" s="32">
        <f>MAX(0,NORMINV(RAND(),$C$14,0.033))</f>
        <v/>
      </c>
      <c r="J453" s="33">
        <f>($C$7*$C$8/365)*F453</f>
        <v/>
      </c>
      <c r="K453" s="33">
        <f>$C$7*G453*$C$12*H453</f>
        <v/>
      </c>
      <c r="L453" s="33">
        <f>$C$7*I453*$C$15</f>
        <v/>
      </c>
      <c r="M453" s="33">
        <f>J453-K453-L453</f>
        <v/>
      </c>
    </row>
    <row r="454">
      <c r="E454" s="20" t="n">
        <v>446</v>
      </c>
      <c r="F454" s="32">
        <f>MAX(0.03,MIN(0.18,NORMINV(RAND(),$C$9,$C$10)))</f>
        <v/>
      </c>
      <c r="G454" s="32">
        <f>MAX(0.02,MIN(0.9,NORMINV(RAND(),$C$11,0.10)))</f>
        <v/>
      </c>
      <c r="H454" s="32">
        <f>MAX(0.02,MIN(0.98,NORMINV(RAND(),$C$13,0.15)))</f>
        <v/>
      </c>
      <c r="I454" s="32">
        <f>MAX(0,NORMINV(RAND(),$C$14,0.033))</f>
        <v/>
      </c>
      <c r="J454" s="33">
        <f>($C$7*$C$8/365)*F454</f>
        <v/>
      </c>
      <c r="K454" s="33">
        <f>$C$7*G454*$C$12*H454</f>
        <v/>
      </c>
      <c r="L454" s="33">
        <f>$C$7*I454*$C$15</f>
        <v/>
      </c>
      <c r="M454" s="33">
        <f>J454-K454-L454</f>
        <v/>
      </c>
    </row>
    <row r="455">
      <c r="E455" s="20" t="n">
        <v>447</v>
      </c>
      <c r="F455" s="32">
        <f>MAX(0.03,MIN(0.18,NORMINV(RAND(),$C$9,$C$10)))</f>
        <v/>
      </c>
      <c r="G455" s="32">
        <f>MAX(0.02,MIN(0.9,NORMINV(RAND(),$C$11,0.10)))</f>
        <v/>
      </c>
      <c r="H455" s="32">
        <f>MAX(0.02,MIN(0.98,NORMINV(RAND(),$C$13,0.15)))</f>
        <v/>
      </c>
      <c r="I455" s="32">
        <f>MAX(0,NORMINV(RAND(),$C$14,0.033))</f>
        <v/>
      </c>
      <c r="J455" s="33">
        <f>($C$7*$C$8/365)*F455</f>
        <v/>
      </c>
      <c r="K455" s="33">
        <f>$C$7*G455*$C$12*H455</f>
        <v/>
      </c>
      <c r="L455" s="33">
        <f>$C$7*I455*$C$15</f>
        <v/>
      </c>
      <c r="M455" s="33">
        <f>J455-K455-L455</f>
        <v/>
      </c>
    </row>
    <row r="456">
      <c r="E456" s="20" t="n">
        <v>448</v>
      </c>
      <c r="F456" s="32">
        <f>MAX(0.03,MIN(0.18,NORMINV(RAND(),$C$9,$C$10)))</f>
        <v/>
      </c>
      <c r="G456" s="32">
        <f>MAX(0.02,MIN(0.9,NORMINV(RAND(),$C$11,0.10)))</f>
        <v/>
      </c>
      <c r="H456" s="32">
        <f>MAX(0.02,MIN(0.98,NORMINV(RAND(),$C$13,0.15)))</f>
        <v/>
      </c>
      <c r="I456" s="32">
        <f>MAX(0,NORMINV(RAND(),$C$14,0.033))</f>
        <v/>
      </c>
      <c r="J456" s="33">
        <f>($C$7*$C$8/365)*F456</f>
        <v/>
      </c>
      <c r="K456" s="33">
        <f>$C$7*G456*$C$12*H456</f>
        <v/>
      </c>
      <c r="L456" s="33">
        <f>$C$7*I456*$C$15</f>
        <v/>
      </c>
      <c r="M456" s="33">
        <f>J456-K456-L456</f>
        <v/>
      </c>
    </row>
    <row r="457">
      <c r="E457" s="20" t="n">
        <v>449</v>
      </c>
      <c r="F457" s="32">
        <f>MAX(0.03,MIN(0.18,NORMINV(RAND(),$C$9,$C$10)))</f>
        <v/>
      </c>
      <c r="G457" s="32">
        <f>MAX(0.02,MIN(0.9,NORMINV(RAND(),$C$11,0.10)))</f>
        <v/>
      </c>
      <c r="H457" s="32">
        <f>MAX(0.02,MIN(0.98,NORMINV(RAND(),$C$13,0.15)))</f>
        <v/>
      </c>
      <c r="I457" s="32">
        <f>MAX(0,NORMINV(RAND(),$C$14,0.033))</f>
        <v/>
      </c>
      <c r="J457" s="33">
        <f>($C$7*$C$8/365)*F457</f>
        <v/>
      </c>
      <c r="K457" s="33">
        <f>$C$7*G457*$C$12*H457</f>
        <v/>
      </c>
      <c r="L457" s="33">
        <f>$C$7*I457*$C$15</f>
        <v/>
      </c>
      <c r="M457" s="33">
        <f>J457-K457-L457</f>
        <v/>
      </c>
    </row>
    <row r="458">
      <c r="E458" s="20" t="n">
        <v>450</v>
      </c>
      <c r="F458" s="32">
        <f>MAX(0.03,MIN(0.18,NORMINV(RAND(),$C$9,$C$10)))</f>
        <v/>
      </c>
      <c r="G458" s="32">
        <f>MAX(0.02,MIN(0.9,NORMINV(RAND(),$C$11,0.10)))</f>
        <v/>
      </c>
      <c r="H458" s="32">
        <f>MAX(0.02,MIN(0.98,NORMINV(RAND(),$C$13,0.15)))</f>
        <v/>
      </c>
      <c r="I458" s="32">
        <f>MAX(0,NORMINV(RAND(),$C$14,0.033))</f>
        <v/>
      </c>
      <c r="J458" s="33">
        <f>($C$7*$C$8/365)*F458</f>
        <v/>
      </c>
      <c r="K458" s="33">
        <f>$C$7*G458*$C$12*H458</f>
        <v/>
      </c>
      <c r="L458" s="33">
        <f>$C$7*I458*$C$15</f>
        <v/>
      </c>
      <c r="M458" s="33">
        <f>J458-K458-L458</f>
        <v/>
      </c>
    </row>
    <row r="459">
      <c r="E459" s="20" t="n">
        <v>451</v>
      </c>
      <c r="F459" s="32">
        <f>MAX(0.03,MIN(0.18,NORMINV(RAND(),$C$9,$C$10)))</f>
        <v/>
      </c>
      <c r="G459" s="32">
        <f>MAX(0.02,MIN(0.9,NORMINV(RAND(),$C$11,0.10)))</f>
        <v/>
      </c>
      <c r="H459" s="32">
        <f>MAX(0.02,MIN(0.98,NORMINV(RAND(),$C$13,0.15)))</f>
        <v/>
      </c>
      <c r="I459" s="32">
        <f>MAX(0,NORMINV(RAND(),$C$14,0.033))</f>
        <v/>
      </c>
      <c r="J459" s="33">
        <f>($C$7*$C$8/365)*F459</f>
        <v/>
      </c>
      <c r="K459" s="33">
        <f>$C$7*G459*$C$12*H459</f>
        <v/>
      </c>
      <c r="L459" s="33">
        <f>$C$7*I459*$C$15</f>
        <v/>
      </c>
      <c r="M459" s="33">
        <f>J459-K459-L459</f>
        <v/>
      </c>
    </row>
    <row r="460">
      <c r="E460" s="20" t="n">
        <v>452</v>
      </c>
      <c r="F460" s="32">
        <f>MAX(0.03,MIN(0.18,NORMINV(RAND(),$C$9,$C$10)))</f>
        <v/>
      </c>
      <c r="G460" s="32">
        <f>MAX(0.02,MIN(0.9,NORMINV(RAND(),$C$11,0.10)))</f>
        <v/>
      </c>
      <c r="H460" s="32">
        <f>MAX(0.02,MIN(0.98,NORMINV(RAND(),$C$13,0.15)))</f>
        <v/>
      </c>
      <c r="I460" s="32">
        <f>MAX(0,NORMINV(RAND(),$C$14,0.033))</f>
        <v/>
      </c>
      <c r="J460" s="33">
        <f>($C$7*$C$8/365)*F460</f>
        <v/>
      </c>
      <c r="K460" s="33">
        <f>$C$7*G460*$C$12*H460</f>
        <v/>
      </c>
      <c r="L460" s="33">
        <f>$C$7*I460*$C$15</f>
        <v/>
      </c>
      <c r="M460" s="33">
        <f>J460-K460-L460</f>
        <v/>
      </c>
    </row>
    <row r="461">
      <c r="E461" s="20" t="n">
        <v>453</v>
      </c>
      <c r="F461" s="32">
        <f>MAX(0.03,MIN(0.18,NORMINV(RAND(),$C$9,$C$10)))</f>
        <v/>
      </c>
      <c r="G461" s="32">
        <f>MAX(0.02,MIN(0.9,NORMINV(RAND(),$C$11,0.10)))</f>
        <v/>
      </c>
      <c r="H461" s="32">
        <f>MAX(0.02,MIN(0.98,NORMINV(RAND(),$C$13,0.15)))</f>
        <v/>
      </c>
      <c r="I461" s="32">
        <f>MAX(0,NORMINV(RAND(),$C$14,0.033))</f>
        <v/>
      </c>
      <c r="J461" s="33">
        <f>($C$7*$C$8/365)*F461</f>
        <v/>
      </c>
      <c r="K461" s="33">
        <f>$C$7*G461*$C$12*H461</f>
        <v/>
      </c>
      <c r="L461" s="33">
        <f>$C$7*I461*$C$15</f>
        <v/>
      </c>
      <c r="M461" s="33">
        <f>J461-K461-L461</f>
        <v/>
      </c>
    </row>
    <row r="462">
      <c r="E462" s="20" t="n">
        <v>454</v>
      </c>
      <c r="F462" s="32">
        <f>MAX(0.03,MIN(0.18,NORMINV(RAND(),$C$9,$C$10)))</f>
        <v/>
      </c>
      <c r="G462" s="32">
        <f>MAX(0.02,MIN(0.9,NORMINV(RAND(),$C$11,0.10)))</f>
        <v/>
      </c>
      <c r="H462" s="32">
        <f>MAX(0.02,MIN(0.98,NORMINV(RAND(),$C$13,0.15)))</f>
        <v/>
      </c>
      <c r="I462" s="32">
        <f>MAX(0,NORMINV(RAND(),$C$14,0.033))</f>
        <v/>
      </c>
      <c r="J462" s="33">
        <f>($C$7*$C$8/365)*F462</f>
        <v/>
      </c>
      <c r="K462" s="33">
        <f>$C$7*G462*$C$12*H462</f>
        <v/>
      </c>
      <c r="L462" s="33">
        <f>$C$7*I462*$C$15</f>
        <v/>
      </c>
      <c r="M462" s="33">
        <f>J462-K462-L462</f>
        <v/>
      </c>
    </row>
    <row r="463">
      <c r="E463" s="20" t="n">
        <v>455</v>
      </c>
      <c r="F463" s="32">
        <f>MAX(0.03,MIN(0.18,NORMINV(RAND(),$C$9,$C$10)))</f>
        <v/>
      </c>
      <c r="G463" s="32">
        <f>MAX(0.02,MIN(0.9,NORMINV(RAND(),$C$11,0.10)))</f>
        <v/>
      </c>
      <c r="H463" s="32">
        <f>MAX(0.02,MIN(0.98,NORMINV(RAND(),$C$13,0.15)))</f>
        <v/>
      </c>
      <c r="I463" s="32">
        <f>MAX(0,NORMINV(RAND(),$C$14,0.033))</f>
        <v/>
      </c>
      <c r="J463" s="33">
        <f>($C$7*$C$8/365)*F463</f>
        <v/>
      </c>
      <c r="K463" s="33">
        <f>$C$7*G463*$C$12*H463</f>
        <v/>
      </c>
      <c r="L463" s="33">
        <f>$C$7*I463*$C$15</f>
        <v/>
      </c>
      <c r="M463" s="33">
        <f>J463-K463-L463</f>
        <v/>
      </c>
    </row>
    <row r="464">
      <c r="E464" s="20" t="n">
        <v>456</v>
      </c>
      <c r="F464" s="32">
        <f>MAX(0.03,MIN(0.18,NORMINV(RAND(),$C$9,$C$10)))</f>
        <v/>
      </c>
      <c r="G464" s="32">
        <f>MAX(0.02,MIN(0.9,NORMINV(RAND(),$C$11,0.10)))</f>
        <v/>
      </c>
      <c r="H464" s="32">
        <f>MAX(0.02,MIN(0.98,NORMINV(RAND(),$C$13,0.15)))</f>
        <v/>
      </c>
      <c r="I464" s="32">
        <f>MAX(0,NORMINV(RAND(),$C$14,0.033))</f>
        <v/>
      </c>
      <c r="J464" s="33">
        <f>($C$7*$C$8/365)*F464</f>
        <v/>
      </c>
      <c r="K464" s="33">
        <f>$C$7*G464*$C$12*H464</f>
        <v/>
      </c>
      <c r="L464" s="33">
        <f>$C$7*I464*$C$15</f>
        <v/>
      </c>
      <c r="M464" s="33">
        <f>J464-K464-L464</f>
        <v/>
      </c>
    </row>
    <row r="465">
      <c r="E465" s="20" t="n">
        <v>457</v>
      </c>
      <c r="F465" s="32">
        <f>MAX(0.03,MIN(0.18,NORMINV(RAND(),$C$9,$C$10)))</f>
        <v/>
      </c>
      <c r="G465" s="32">
        <f>MAX(0.02,MIN(0.9,NORMINV(RAND(),$C$11,0.10)))</f>
        <v/>
      </c>
      <c r="H465" s="32">
        <f>MAX(0.02,MIN(0.98,NORMINV(RAND(),$C$13,0.15)))</f>
        <v/>
      </c>
      <c r="I465" s="32">
        <f>MAX(0,NORMINV(RAND(),$C$14,0.033))</f>
        <v/>
      </c>
      <c r="J465" s="33">
        <f>($C$7*$C$8/365)*F465</f>
        <v/>
      </c>
      <c r="K465" s="33">
        <f>$C$7*G465*$C$12*H465</f>
        <v/>
      </c>
      <c r="L465" s="33">
        <f>$C$7*I465*$C$15</f>
        <v/>
      </c>
      <c r="M465" s="33">
        <f>J465-K465-L465</f>
        <v/>
      </c>
    </row>
    <row r="466">
      <c r="E466" s="20" t="n">
        <v>458</v>
      </c>
      <c r="F466" s="32">
        <f>MAX(0.03,MIN(0.18,NORMINV(RAND(),$C$9,$C$10)))</f>
        <v/>
      </c>
      <c r="G466" s="32">
        <f>MAX(0.02,MIN(0.9,NORMINV(RAND(),$C$11,0.10)))</f>
        <v/>
      </c>
      <c r="H466" s="32">
        <f>MAX(0.02,MIN(0.98,NORMINV(RAND(),$C$13,0.15)))</f>
        <v/>
      </c>
      <c r="I466" s="32">
        <f>MAX(0,NORMINV(RAND(),$C$14,0.033))</f>
        <v/>
      </c>
      <c r="J466" s="33">
        <f>($C$7*$C$8/365)*F466</f>
        <v/>
      </c>
      <c r="K466" s="33">
        <f>$C$7*G466*$C$12*H466</f>
        <v/>
      </c>
      <c r="L466" s="33">
        <f>$C$7*I466*$C$15</f>
        <v/>
      </c>
      <c r="M466" s="33">
        <f>J466-K466-L466</f>
        <v/>
      </c>
    </row>
    <row r="467">
      <c r="E467" s="20" t="n">
        <v>459</v>
      </c>
      <c r="F467" s="32">
        <f>MAX(0.03,MIN(0.18,NORMINV(RAND(),$C$9,$C$10)))</f>
        <v/>
      </c>
      <c r="G467" s="32">
        <f>MAX(0.02,MIN(0.9,NORMINV(RAND(),$C$11,0.10)))</f>
        <v/>
      </c>
      <c r="H467" s="32">
        <f>MAX(0.02,MIN(0.98,NORMINV(RAND(),$C$13,0.15)))</f>
        <v/>
      </c>
      <c r="I467" s="32">
        <f>MAX(0,NORMINV(RAND(),$C$14,0.033))</f>
        <v/>
      </c>
      <c r="J467" s="33">
        <f>($C$7*$C$8/365)*F467</f>
        <v/>
      </c>
      <c r="K467" s="33">
        <f>$C$7*G467*$C$12*H467</f>
        <v/>
      </c>
      <c r="L467" s="33">
        <f>$C$7*I467*$C$15</f>
        <v/>
      </c>
      <c r="M467" s="33">
        <f>J467-K467-L467</f>
        <v/>
      </c>
    </row>
    <row r="468">
      <c r="E468" s="20" t="n">
        <v>460</v>
      </c>
      <c r="F468" s="32">
        <f>MAX(0.03,MIN(0.18,NORMINV(RAND(),$C$9,$C$10)))</f>
        <v/>
      </c>
      <c r="G468" s="32">
        <f>MAX(0.02,MIN(0.9,NORMINV(RAND(),$C$11,0.10)))</f>
        <v/>
      </c>
      <c r="H468" s="32">
        <f>MAX(0.02,MIN(0.98,NORMINV(RAND(),$C$13,0.15)))</f>
        <v/>
      </c>
      <c r="I468" s="32">
        <f>MAX(0,NORMINV(RAND(),$C$14,0.033))</f>
        <v/>
      </c>
      <c r="J468" s="33">
        <f>($C$7*$C$8/365)*F468</f>
        <v/>
      </c>
      <c r="K468" s="33">
        <f>$C$7*G468*$C$12*H468</f>
        <v/>
      </c>
      <c r="L468" s="33">
        <f>$C$7*I468*$C$15</f>
        <v/>
      </c>
      <c r="M468" s="33">
        <f>J468-K468-L468</f>
        <v/>
      </c>
    </row>
    <row r="469">
      <c r="E469" s="20" t="n">
        <v>461</v>
      </c>
      <c r="F469" s="32">
        <f>MAX(0.03,MIN(0.18,NORMINV(RAND(),$C$9,$C$10)))</f>
        <v/>
      </c>
      <c r="G469" s="32">
        <f>MAX(0.02,MIN(0.9,NORMINV(RAND(),$C$11,0.10)))</f>
        <v/>
      </c>
      <c r="H469" s="32">
        <f>MAX(0.02,MIN(0.98,NORMINV(RAND(),$C$13,0.15)))</f>
        <v/>
      </c>
      <c r="I469" s="32">
        <f>MAX(0,NORMINV(RAND(),$C$14,0.033))</f>
        <v/>
      </c>
      <c r="J469" s="33">
        <f>($C$7*$C$8/365)*F469</f>
        <v/>
      </c>
      <c r="K469" s="33">
        <f>$C$7*G469*$C$12*H469</f>
        <v/>
      </c>
      <c r="L469" s="33">
        <f>$C$7*I469*$C$15</f>
        <v/>
      </c>
      <c r="M469" s="33">
        <f>J469-K469-L469</f>
        <v/>
      </c>
    </row>
    <row r="470">
      <c r="E470" s="20" t="n">
        <v>462</v>
      </c>
      <c r="F470" s="32">
        <f>MAX(0.03,MIN(0.18,NORMINV(RAND(),$C$9,$C$10)))</f>
        <v/>
      </c>
      <c r="G470" s="32">
        <f>MAX(0.02,MIN(0.9,NORMINV(RAND(),$C$11,0.10)))</f>
        <v/>
      </c>
      <c r="H470" s="32">
        <f>MAX(0.02,MIN(0.98,NORMINV(RAND(),$C$13,0.15)))</f>
        <v/>
      </c>
      <c r="I470" s="32">
        <f>MAX(0,NORMINV(RAND(),$C$14,0.033))</f>
        <v/>
      </c>
      <c r="J470" s="33">
        <f>($C$7*$C$8/365)*F470</f>
        <v/>
      </c>
      <c r="K470" s="33">
        <f>$C$7*G470*$C$12*H470</f>
        <v/>
      </c>
      <c r="L470" s="33">
        <f>$C$7*I470*$C$15</f>
        <v/>
      </c>
      <c r="M470" s="33">
        <f>J470-K470-L470</f>
        <v/>
      </c>
    </row>
    <row r="471">
      <c r="E471" s="20" t="n">
        <v>463</v>
      </c>
      <c r="F471" s="32">
        <f>MAX(0.03,MIN(0.18,NORMINV(RAND(),$C$9,$C$10)))</f>
        <v/>
      </c>
      <c r="G471" s="32">
        <f>MAX(0.02,MIN(0.9,NORMINV(RAND(),$C$11,0.10)))</f>
        <v/>
      </c>
      <c r="H471" s="32">
        <f>MAX(0.02,MIN(0.98,NORMINV(RAND(),$C$13,0.15)))</f>
        <v/>
      </c>
      <c r="I471" s="32">
        <f>MAX(0,NORMINV(RAND(),$C$14,0.033))</f>
        <v/>
      </c>
      <c r="J471" s="33">
        <f>($C$7*$C$8/365)*F471</f>
        <v/>
      </c>
      <c r="K471" s="33">
        <f>$C$7*G471*$C$12*H471</f>
        <v/>
      </c>
      <c r="L471" s="33">
        <f>$C$7*I471*$C$15</f>
        <v/>
      </c>
      <c r="M471" s="33">
        <f>J471-K471-L471</f>
        <v/>
      </c>
    </row>
    <row r="472">
      <c r="E472" s="20" t="n">
        <v>464</v>
      </c>
      <c r="F472" s="32">
        <f>MAX(0.03,MIN(0.18,NORMINV(RAND(),$C$9,$C$10)))</f>
        <v/>
      </c>
      <c r="G472" s="32">
        <f>MAX(0.02,MIN(0.9,NORMINV(RAND(),$C$11,0.10)))</f>
        <v/>
      </c>
      <c r="H472" s="32">
        <f>MAX(0.02,MIN(0.98,NORMINV(RAND(),$C$13,0.15)))</f>
        <v/>
      </c>
      <c r="I472" s="32">
        <f>MAX(0,NORMINV(RAND(),$C$14,0.033))</f>
        <v/>
      </c>
      <c r="J472" s="33">
        <f>($C$7*$C$8/365)*F472</f>
        <v/>
      </c>
      <c r="K472" s="33">
        <f>$C$7*G472*$C$12*H472</f>
        <v/>
      </c>
      <c r="L472" s="33">
        <f>$C$7*I472*$C$15</f>
        <v/>
      </c>
      <c r="M472" s="33">
        <f>J472-K472-L472</f>
        <v/>
      </c>
    </row>
    <row r="473">
      <c r="E473" s="20" t="n">
        <v>465</v>
      </c>
      <c r="F473" s="32">
        <f>MAX(0.03,MIN(0.18,NORMINV(RAND(),$C$9,$C$10)))</f>
        <v/>
      </c>
      <c r="G473" s="32">
        <f>MAX(0.02,MIN(0.9,NORMINV(RAND(),$C$11,0.10)))</f>
        <v/>
      </c>
      <c r="H473" s="32">
        <f>MAX(0.02,MIN(0.98,NORMINV(RAND(),$C$13,0.15)))</f>
        <v/>
      </c>
      <c r="I473" s="32">
        <f>MAX(0,NORMINV(RAND(),$C$14,0.033))</f>
        <v/>
      </c>
      <c r="J473" s="33">
        <f>($C$7*$C$8/365)*F473</f>
        <v/>
      </c>
      <c r="K473" s="33">
        <f>$C$7*G473*$C$12*H473</f>
        <v/>
      </c>
      <c r="L473" s="33">
        <f>$C$7*I473*$C$15</f>
        <v/>
      </c>
      <c r="M473" s="33">
        <f>J473-K473-L473</f>
        <v/>
      </c>
    </row>
    <row r="474">
      <c r="E474" s="20" t="n">
        <v>466</v>
      </c>
      <c r="F474" s="32">
        <f>MAX(0.03,MIN(0.18,NORMINV(RAND(),$C$9,$C$10)))</f>
        <v/>
      </c>
      <c r="G474" s="32">
        <f>MAX(0.02,MIN(0.9,NORMINV(RAND(),$C$11,0.10)))</f>
        <v/>
      </c>
      <c r="H474" s="32">
        <f>MAX(0.02,MIN(0.98,NORMINV(RAND(),$C$13,0.15)))</f>
        <v/>
      </c>
      <c r="I474" s="32">
        <f>MAX(0,NORMINV(RAND(),$C$14,0.033))</f>
        <v/>
      </c>
      <c r="J474" s="33">
        <f>($C$7*$C$8/365)*F474</f>
        <v/>
      </c>
      <c r="K474" s="33">
        <f>$C$7*G474*$C$12*H474</f>
        <v/>
      </c>
      <c r="L474" s="33">
        <f>$C$7*I474*$C$15</f>
        <v/>
      </c>
      <c r="M474" s="33">
        <f>J474-K474-L474</f>
        <v/>
      </c>
    </row>
    <row r="475">
      <c r="E475" s="20" t="n">
        <v>467</v>
      </c>
      <c r="F475" s="32">
        <f>MAX(0.03,MIN(0.18,NORMINV(RAND(),$C$9,$C$10)))</f>
        <v/>
      </c>
      <c r="G475" s="32">
        <f>MAX(0.02,MIN(0.9,NORMINV(RAND(),$C$11,0.10)))</f>
        <v/>
      </c>
      <c r="H475" s="32">
        <f>MAX(0.02,MIN(0.98,NORMINV(RAND(),$C$13,0.15)))</f>
        <v/>
      </c>
      <c r="I475" s="32">
        <f>MAX(0,NORMINV(RAND(),$C$14,0.033))</f>
        <v/>
      </c>
      <c r="J475" s="33">
        <f>($C$7*$C$8/365)*F475</f>
        <v/>
      </c>
      <c r="K475" s="33">
        <f>$C$7*G475*$C$12*H475</f>
        <v/>
      </c>
      <c r="L475" s="33">
        <f>$C$7*I475*$C$15</f>
        <v/>
      </c>
      <c r="M475" s="33">
        <f>J475-K475-L475</f>
        <v/>
      </c>
    </row>
    <row r="476">
      <c r="E476" s="20" t="n">
        <v>468</v>
      </c>
      <c r="F476" s="32">
        <f>MAX(0.03,MIN(0.18,NORMINV(RAND(),$C$9,$C$10)))</f>
        <v/>
      </c>
      <c r="G476" s="32">
        <f>MAX(0.02,MIN(0.9,NORMINV(RAND(),$C$11,0.10)))</f>
        <v/>
      </c>
      <c r="H476" s="32">
        <f>MAX(0.02,MIN(0.98,NORMINV(RAND(),$C$13,0.15)))</f>
        <v/>
      </c>
      <c r="I476" s="32">
        <f>MAX(0,NORMINV(RAND(),$C$14,0.033))</f>
        <v/>
      </c>
      <c r="J476" s="33">
        <f>($C$7*$C$8/365)*F476</f>
        <v/>
      </c>
      <c r="K476" s="33">
        <f>$C$7*G476*$C$12*H476</f>
        <v/>
      </c>
      <c r="L476" s="33">
        <f>$C$7*I476*$C$15</f>
        <v/>
      </c>
      <c r="M476" s="33">
        <f>J476-K476-L476</f>
        <v/>
      </c>
    </row>
    <row r="477">
      <c r="E477" s="20" t="n">
        <v>469</v>
      </c>
      <c r="F477" s="32">
        <f>MAX(0.03,MIN(0.18,NORMINV(RAND(),$C$9,$C$10)))</f>
        <v/>
      </c>
      <c r="G477" s="32">
        <f>MAX(0.02,MIN(0.9,NORMINV(RAND(),$C$11,0.10)))</f>
        <v/>
      </c>
      <c r="H477" s="32">
        <f>MAX(0.02,MIN(0.98,NORMINV(RAND(),$C$13,0.15)))</f>
        <v/>
      </c>
      <c r="I477" s="32">
        <f>MAX(0,NORMINV(RAND(),$C$14,0.033))</f>
        <v/>
      </c>
      <c r="J477" s="33">
        <f>($C$7*$C$8/365)*F477</f>
        <v/>
      </c>
      <c r="K477" s="33">
        <f>$C$7*G477*$C$12*H477</f>
        <v/>
      </c>
      <c r="L477" s="33">
        <f>$C$7*I477*$C$15</f>
        <v/>
      </c>
      <c r="M477" s="33">
        <f>J477-K477-L477</f>
        <v/>
      </c>
    </row>
    <row r="478">
      <c r="E478" s="20" t="n">
        <v>470</v>
      </c>
      <c r="F478" s="32">
        <f>MAX(0.03,MIN(0.18,NORMINV(RAND(),$C$9,$C$10)))</f>
        <v/>
      </c>
      <c r="G478" s="32">
        <f>MAX(0.02,MIN(0.9,NORMINV(RAND(),$C$11,0.10)))</f>
        <v/>
      </c>
      <c r="H478" s="32">
        <f>MAX(0.02,MIN(0.98,NORMINV(RAND(),$C$13,0.15)))</f>
        <v/>
      </c>
      <c r="I478" s="32">
        <f>MAX(0,NORMINV(RAND(),$C$14,0.033))</f>
        <v/>
      </c>
      <c r="J478" s="33">
        <f>($C$7*$C$8/365)*F478</f>
        <v/>
      </c>
      <c r="K478" s="33">
        <f>$C$7*G478*$C$12*H478</f>
        <v/>
      </c>
      <c r="L478" s="33">
        <f>$C$7*I478*$C$15</f>
        <v/>
      </c>
      <c r="M478" s="33">
        <f>J478-K478-L478</f>
        <v/>
      </c>
    </row>
    <row r="479">
      <c r="E479" s="20" t="n">
        <v>471</v>
      </c>
      <c r="F479" s="32">
        <f>MAX(0.03,MIN(0.18,NORMINV(RAND(),$C$9,$C$10)))</f>
        <v/>
      </c>
      <c r="G479" s="32">
        <f>MAX(0.02,MIN(0.9,NORMINV(RAND(),$C$11,0.10)))</f>
        <v/>
      </c>
      <c r="H479" s="32">
        <f>MAX(0.02,MIN(0.98,NORMINV(RAND(),$C$13,0.15)))</f>
        <v/>
      </c>
      <c r="I479" s="32">
        <f>MAX(0,NORMINV(RAND(),$C$14,0.033))</f>
        <v/>
      </c>
      <c r="J479" s="33">
        <f>($C$7*$C$8/365)*F479</f>
        <v/>
      </c>
      <c r="K479" s="33">
        <f>$C$7*G479*$C$12*H479</f>
        <v/>
      </c>
      <c r="L479" s="33">
        <f>$C$7*I479*$C$15</f>
        <v/>
      </c>
      <c r="M479" s="33">
        <f>J479-K479-L479</f>
        <v/>
      </c>
    </row>
    <row r="480">
      <c r="E480" s="20" t="n">
        <v>472</v>
      </c>
      <c r="F480" s="32">
        <f>MAX(0.03,MIN(0.18,NORMINV(RAND(),$C$9,$C$10)))</f>
        <v/>
      </c>
      <c r="G480" s="32">
        <f>MAX(0.02,MIN(0.9,NORMINV(RAND(),$C$11,0.10)))</f>
        <v/>
      </c>
      <c r="H480" s="32">
        <f>MAX(0.02,MIN(0.98,NORMINV(RAND(),$C$13,0.15)))</f>
        <v/>
      </c>
      <c r="I480" s="32">
        <f>MAX(0,NORMINV(RAND(),$C$14,0.033))</f>
        <v/>
      </c>
      <c r="J480" s="33">
        <f>($C$7*$C$8/365)*F480</f>
        <v/>
      </c>
      <c r="K480" s="33">
        <f>$C$7*G480*$C$12*H480</f>
        <v/>
      </c>
      <c r="L480" s="33">
        <f>$C$7*I480*$C$15</f>
        <v/>
      </c>
      <c r="M480" s="33">
        <f>J480-K480-L480</f>
        <v/>
      </c>
    </row>
    <row r="481">
      <c r="E481" s="20" t="n">
        <v>473</v>
      </c>
      <c r="F481" s="32">
        <f>MAX(0.03,MIN(0.18,NORMINV(RAND(),$C$9,$C$10)))</f>
        <v/>
      </c>
      <c r="G481" s="32">
        <f>MAX(0.02,MIN(0.9,NORMINV(RAND(),$C$11,0.10)))</f>
        <v/>
      </c>
      <c r="H481" s="32">
        <f>MAX(0.02,MIN(0.98,NORMINV(RAND(),$C$13,0.15)))</f>
        <v/>
      </c>
      <c r="I481" s="32">
        <f>MAX(0,NORMINV(RAND(),$C$14,0.033))</f>
        <v/>
      </c>
      <c r="J481" s="33">
        <f>($C$7*$C$8/365)*F481</f>
        <v/>
      </c>
      <c r="K481" s="33">
        <f>$C$7*G481*$C$12*H481</f>
        <v/>
      </c>
      <c r="L481" s="33">
        <f>$C$7*I481*$C$15</f>
        <v/>
      </c>
      <c r="M481" s="33">
        <f>J481-K481-L481</f>
        <v/>
      </c>
    </row>
    <row r="482">
      <c r="E482" s="20" t="n">
        <v>474</v>
      </c>
      <c r="F482" s="32">
        <f>MAX(0.03,MIN(0.18,NORMINV(RAND(),$C$9,$C$10)))</f>
        <v/>
      </c>
      <c r="G482" s="32">
        <f>MAX(0.02,MIN(0.9,NORMINV(RAND(),$C$11,0.10)))</f>
        <v/>
      </c>
      <c r="H482" s="32">
        <f>MAX(0.02,MIN(0.98,NORMINV(RAND(),$C$13,0.15)))</f>
        <v/>
      </c>
      <c r="I482" s="32">
        <f>MAX(0,NORMINV(RAND(),$C$14,0.033))</f>
        <v/>
      </c>
      <c r="J482" s="33">
        <f>($C$7*$C$8/365)*F482</f>
        <v/>
      </c>
      <c r="K482" s="33">
        <f>$C$7*G482*$C$12*H482</f>
        <v/>
      </c>
      <c r="L482" s="33">
        <f>$C$7*I482*$C$15</f>
        <v/>
      </c>
      <c r="M482" s="33">
        <f>J482-K482-L482</f>
        <v/>
      </c>
    </row>
    <row r="483">
      <c r="E483" s="20" t="n">
        <v>475</v>
      </c>
      <c r="F483" s="32">
        <f>MAX(0.03,MIN(0.18,NORMINV(RAND(),$C$9,$C$10)))</f>
        <v/>
      </c>
      <c r="G483" s="32">
        <f>MAX(0.02,MIN(0.9,NORMINV(RAND(),$C$11,0.10)))</f>
        <v/>
      </c>
      <c r="H483" s="32">
        <f>MAX(0.02,MIN(0.98,NORMINV(RAND(),$C$13,0.15)))</f>
        <v/>
      </c>
      <c r="I483" s="32">
        <f>MAX(0,NORMINV(RAND(),$C$14,0.033))</f>
        <v/>
      </c>
      <c r="J483" s="33">
        <f>($C$7*$C$8/365)*F483</f>
        <v/>
      </c>
      <c r="K483" s="33">
        <f>$C$7*G483*$C$12*H483</f>
        <v/>
      </c>
      <c r="L483" s="33">
        <f>$C$7*I483*$C$15</f>
        <v/>
      </c>
      <c r="M483" s="33">
        <f>J483-K483-L483</f>
        <v/>
      </c>
    </row>
    <row r="484">
      <c r="E484" s="20" t="n">
        <v>476</v>
      </c>
      <c r="F484" s="32">
        <f>MAX(0.03,MIN(0.18,NORMINV(RAND(),$C$9,$C$10)))</f>
        <v/>
      </c>
      <c r="G484" s="32">
        <f>MAX(0.02,MIN(0.9,NORMINV(RAND(),$C$11,0.10)))</f>
        <v/>
      </c>
      <c r="H484" s="32">
        <f>MAX(0.02,MIN(0.98,NORMINV(RAND(),$C$13,0.15)))</f>
        <v/>
      </c>
      <c r="I484" s="32">
        <f>MAX(0,NORMINV(RAND(),$C$14,0.033))</f>
        <v/>
      </c>
      <c r="J484" s="33">
        <f>($C$7*$C$8/365)*F484</f>
        <v/>
      </c>
      <c r="K484" s="33">
        <f>$C$7*G484*$C$12*H484</f>
        <v/>
      </c>
      <c r="L484" s="33">
        <f>$C$7*I484*$C$15</f>
        <v/>
      </c>
      <c r="M484" s="33">
        <f>J484-K484-L484</f>
        <v/>
      </c>
    </row>
    <row r="485">
      <c r="E485" s="20" t="n">
        <v>477</v>
      </c>
      <c r="F485" s="32">
        <f>MAX(0.03,MIN(0.18,NORMINV(RAND(),$C$9,$C$10)))</f>
        <v/>
      </c>
      <c r="G485" s="32">
        <f>MAX(0.02,MIN(0.9,NORMINV(RAND(),$C$11,0.10)))</f>
        <v/>
      </c>
      <c r="H485" s="32">
        <f>MAX(0.02,MIN(0.98,NORMINV(RAND(),$C$13,0.15)))</f>
        <v/>
      </c>
      <c r="I485" s="32">
        <f>MAX(0,NORMINV(RAND(),$C$14,0.033))</f>
        <v/>
      </c>
      <c r="J485" s="33">
        <f>($C$7*$C$8/365)*F485</f>
        <v/>
      </c>
      <c r="K485" s="33">
        <f>$C$7*G485*$C$12*H485</f>
        <v/>
      </c>
      <c r="L485" s="33">
        <f>$C$7*I485*$C$15</f>
        <v/>
      </c>
      <c r="M485" s="33">
        <f>J485-K485-L485</f>
        <v/>
      </c>
    </row>
    <row r="486">
      <c r="E486" s="20" t="n">
        <v>478</v>
      </c>
      <c r="F486" s="32">
        <f>MAX(0.03,MIN(0.18,NORMINV(RAND(),$C$9,$C$10)))</f>
        <v/>
      </c>
      <c r="G486" s="32">
        <f>MAX(0.02,MIN(0.9,NORMINV(RAND(),$C$11,0.10)))</f>
        <v/>
      </c>
      <c r="H486" s="32">
        <f>MAX(0.02,MIN(0.98,NORMINV(RAND(),$C$13,0.15)))</f>
        <v/>
      </c>
      <c r="I486" s="32">
        <f>MAX(0,NORMINV(RAND(),$C$14,0.033))</f>
        <v/>
      </c>
      <c r="J486" s="33">
        <f>($C$7*$C$8/365)*F486</f>
        <v/>
      </c>
      <c r="K486" s="33">
        <f>$C$7*G486*$C$12*H486</f>
        <v/>
      </c>
      <c r="L486" s="33">
        <f>$C$7*I486*$C$15</f>
        <v/>
      </c>
      <c r="M486" s="33">
        <f>J486-K486-L486</f>
        <v/>
      </c>
    </row>
    <row r="487">
      <c r="E487" s="20" t="n">
        <v>479</v>
      </c>
      <c r="F487" s="32">
        <f>MAX(0.03,MIN(0.18,NORMINV(RAND(),$C$9,$C$10)))</f>
        <v/>
      </c>
      <c r="G487" s="32">
        <f>MAX(0.02,MIN(0.9,NORMINV(RAND(),$C$11,0.10)))</f>
        <v/>
      </c>
      <c r="H487" s="32">
        <f>MAX(0.02,MIN(0.98,NORMINV(RAND(),$C$13,0.15)))</f>
        <v/>
      </c>
      <c r="I487" s="32">
        <f>MAX(0,NORMINV(RAND(),$C$14,0.033))</f>
        <v/>
      </c>
      <c r="J487" s="33">
        <f>($C$7*$C$8/365)*F487</f>
        <v/>
      </c>
      <c r="K487" s="33">
        <f>$C$7*G487*$C$12*H487</f>
        <v/>
      </c>
      <c r="L487" s="33">
        <f>$C$7*I487*$C$15</f>
        <v/>
      </c>
      <c r="M487" s="33">
        <f>J487-K487-L487</f>
        <v/>
      </c>
    </row>
    <row r="488">
      <c r="E488" s="20" t="n">
        <v>480</v>
      </c>
      <c r="F488" s="32">
        <f>MAX(0.03,MIN(0.18,NORMINV(RAND(),$C$9,$C$10)))</f>
        <v/>
      </c>
      <c r="G488" s="32">
        <f>MAX(0.02,MIN(0.9,NORMINV(RAND(),$C$11,0.10)))</f>
        <v/>
      </c>
      <c r="H488" s="32">
        <f>MAX(0.02,MIN(0.98,NORMINV(RAND(),$C$13,0.15)))</f>
        <v/>
      </c>
      <c r="I488" s="32">
        <f>MAX(0,NORMINV(RAND(),$C$14,0.033))</f>
        <v/>
      </c>
      <c r="J488" s="33">
        <f>($C$7*$C$8/365)*F488</f>
        <v/>
      </c>
      <c r="K488" s="33">
        <f>$C$7*G488*$C$12*H488</f>
        <v/>
      </c>
      <c r="L488" s="33">
        <f>$C$7*I488*$C$15</f>
        <v/>
      </c>
      <c r="M488" s="33">
        <f>J488-K488-L488</f>
        <v/>
      </c>
    </row>
    <row r="489">
      <c r="E489" s="20" t="n">
        <v>481</v>
      </c>
      <c r="F489" s="32">
        <f>MAX(0.03,MIN(0.18,NORMINV(RAND(),$C$9,$C$10)))</f>
        <v/>
      </c>
      <c r="G489" s="32">
        <f>MAX(0.02,MIN(0.9,NORMINV(RAND(),$C$11,0.10)))</f>
        <v/>
      </c>
      <c r="H489" s="32">
        <f>MAX(0.02,MIN(0.98,NORMINV(RAND(),$C$13,0.15)))</f>
        <v/>
      </c>
      <c r="I489" s="32">
        <f>MAX(0,NORMINV(RAND(),$C$14,0.033))</f>
        <v/>
      </c>
      <c r="J489" s="33">
        <f>($C$7*$C$8/365)*F489</f>
        <v/>
      </c>
      <c r="K489" s="33">
        <f>$C$7*G489*$C$12*H489</f>
        <v/>
      </c>
      <c r="L489" s="33">
        <f>$C$7*I489*$C$15</f>
        <v/>
      </c>
      <c r="M489" s="33">
        <f>J489-K489-L489</f>
        <v/>
      </c>
    </row>
    <row r="490">
      <c r="E490" s="20" t="n">
        <v>482</v>
      </c>
      <c r="F490" s="32">
        <f>MAX(0.03,MIN(0.18,NORMINV(RAND(),$C$9,$C$10)))</f>
        <v/>
      </c>
      <c r="G490" s="32">
        <f>MAX(0.02,MIN(0.9,NORMINV(RAND(),$C$11,0.10)))</f>
        <v/>
      </c>
      <c r="H490" s="32">
        <f>MAX(0.02,MIN(0.98,NORMINV(RAND(),$C$13,0.15)))</f>
        <v/>
      </c>
      <c r="I490" s="32">
        <f>MAX(0,NORMINV(RAND(),$C$14,0.033))</f>
        <v/>
      </c>
      <c r="J490" s="33">
        <f>($C$7*$C$8/365)*F490</f>
        <v/>
      </c>
      <c r="K490" s="33">
        <f>$C$7*G490*$C$12*H490</f>
        <v/>
      </c>
      <c r="L490" s="33">
        <f>$C$7*I490*$C$15</f>
        <v/>
      </c>
      <c r="M490" s="33">
        <f>J490-K490-L490</f>
        <v/>
      </c>
    </row>
    <row r="491">
      <c r="E491" s="20" t="n">
        <v>483</v>
      </c>
      <c r="F491" s="32">
        <f>MAX(0.03,MIN(0.18,NORMINV(RAND(),$C$9,$C$10)))</f>
        <v/>
      </c>
      <c r="G491" s="32">
        <f>MAX(0.02,MIN(0.9,NORMINV(RAND(),$C$11,0.10)))</f>
        <v/>
      </c>
      <c r="H491" s="32">
        <f>MAX(0.02,MIN(0.98,NORMINV(RAND(),$C$13,0.15)))</f>
        <v/>
      </c>
      <c r="I491" s="32">
        <f>MAX(0,NORMINV(RAND(),$C$14,0.033))</f>
        <v/>
      </c>
      <c r="J491" s="33">
        <f>($C$7*$C$8/365)*F491</f>
        <v/>
      </c>
      <c r="K491" s="33">
        <f>$C$7*G491*$C$12*H491</f>
        <v/>
      </c>
      <c r="L491" s="33">
        <f>$C$7*I491*$C$15</f>
        <v/>
      </c>
      <c r="M491" s="33">
        <f>J491-K491-L491</f>
        <v/>
      </c>
    </row>
    <row r="492">
      <c r="E492" s="20" t="n">
        <v>484</v>
      </c>
      <c r="F492" s="32">
        <f>MAX(0.03,MIN(0.18,NORMINV(RAND(),$C$9,$C$10)))</f>
        <v/>
      </c>
      <c r="G492" s="32">
        <f>MAX(0.02,MIN(0.9,NORMINV(RAND(),$C$11,0.10)))</f>
        <v/>
      </c>
      <c r="H492" s="32">
        <f>MAX(0.02,MIN(0.98,NORMINV(RAND(),$C$13,0.15)))</f>
        <v/>
      </c>
      <c r="I492" s="32">
        <f>MAX(0,NORMINV(RAND(),$C$14,0.033))</f>
        <v/>
      </c>
      <c r="J492" s="33">
        <f>($C$7*$C$8/365)*F492</f>
        <v/>
      </c>
      <c r="K492" s="33">
        <f>$C$7*G492*$C$12*H492</f>
        <v/>
      </c>
      <c r="L492" s="33">
        <f>$C$7*I492*$C$15</f>
        <v/>
      </c>
      <c r="M492" s="33">
        <f>J492-K492-L492</f>
        <v/>
      </c>
    </row>
    <row r="493">
      <c r="E493" s="20" t="n">
        <v>485</v>
      </c>
      <c r="F493" s="32">
        <f>MAX(0.03,MIN(0.18,NORMINV(RAND(),$C$9,$C$10)))</f>
        <v/>
      </c>
      <c r="G493" s="32">
        <f>MAX(0.02,MIN(0.9,NORMINV(RAND(),$C$11,0.10)))</f>
        <v/>
      </c>
      <c r="H493" s="32">
        <f>MAX(0.02,MIN(0.98,NORMINV(RAND(),$C$13,0.15)))</f>
        <v/>
      </c>
      <c r="I493" s="32">
        <f>MAX(0,NORMINV(RAND(),$C$14,0.033))</f>
        <v/>
      </c>
      <c r="J493" s="33">
        <f>($C$7*$C$8/365)*F493</f>
        <v/>
      </c>
      <c r="K493" s="33">
        <f>$C$7*G493*$C$12*H493</f>
        <v/>
      </c>
      <c r="L493" s="33">
        <f>$C$7*I493*$C$15</f>
        <v/>
      </c>
      <c r="M493" s="33">
        <f>J493-K493-L493</f>
        <v/>
      </c>
    </row>
    <row r="494">
      <c r="E494" s="20" t="n">
        <v>486</v>
      </c>
      <c r="F494" s="32">
        <f>MAX(0.03,MIN(0.18,NORMINV(RAND(),$C$9,$C$10)))</f>
        <v/>
      </c>
      <c r="G494" s="32">
        <f>MAX(0.02,MIN(0.9,NORMINV(RAND(),$C$11,0.10)))</f>
        <v/>
      </c>
      <c r="H494" s="32">
        <f>MAX(0.02,MIN(0.98,NORMINV(RAND(),$C$13,0.15)))</f>
        <v/>
      </c>
      <c r="I494" s="32">
        <f>MAX(0,NORMINV(RAND(),$C$14,0.033))</f>
        <v/>
      </c>
      <c r="J494" s="33">
        <f>($C$7*$C$8/365)*F494</f>
        <v/>
      </c>
      <c r="K494" s="33">
        <f>$C$7*G494*$C$12*H494</f>
        <v/>
      </c>
      <c r="L494" s="33">
        <f>$C$7*I494*$C$15</f>
        <v/>
      </c>
      <c r="M494" s="33">
        <f>J494-K494-L494</f>
        <v/>
      </c>
    </row>
    <row r="495">
      <c r="E495" s="20" t="n">
        <v>487</v>
      </c>
      <c r="F495" s="32">
        <f>MAX(0.03,MIN(0.18,NORMINV(RAND(),$C$9,$C$10)))</f>
        <v/>
      </c>
      <c r="G495" s="32">
        <f>MAX(0.02,MIN(0.9,NORMINV(RAND(),$C$11,0.10)))</f>
        <v/>
      </c>
      <c r="H495" s="32">
        <f>MAX(0.02,MIN(0.98,NORMINV(RAND(),$C$13,0.15)))</f>
        <v/>
      </c>
      <c r="I495" s="32">
        <f>MAX(0,NORMINV(RAND(),$C$14,0.033))</f>
        <v/>
      </c>
      <c r="J495" s="33">
        <f>($C$7*$C$8/365)*F495</f>
        <v/>
      </c>
      <c r="K495" s="33">
        <f>$C$7*G495*$C$12*H495</f>
        <v/>
      </c>
      <c r="L495" s="33">
        <f>$C$7*I495*$C$15</f>
        <v/>
      </c>
      <c r="M495" s="33">
        <f>J495-K495-L495</f>
        <v/>
      </c>
    </row>
    <row r="496">
      <c r="E496" s="20" t="n">
        <v>488</v>
      </c>
      <c r="F496" s="32">
        <f>MAX(0.03,MIN(0.18,NORMINV(RAND(),$C$9,$C$10)))</f>
        <v/>
      </c>
      <c r="G496" s="32">
        <f>MAX(0.02,MIN(0.9,NORMINV(RAND(),$C$11,0.10)))</f>
        <v/>
      </c>
      <c r="H496" s="32">
        <f>MAX(0.02,MIN(0.98,NORMINV(RAND(),$C$13,0.15)))</f>
        <v/>
      </c>
      <c r="I496" s="32">
        <f>MAX(0,NORMINV(RAND(),$C$14,0.033))</f>
        <v/>
      </c>
      <c r="J496" s="33">
        <f>($C$7*$C$8/365)*F496</f>
        <v/>
      </c>
      <c r="K496" s="33">
        <f>$C$7*G496*$C$12*H496</f>
        <v/>
      </c>
      <c r="L496" s="33">
        <f>$C$7*I496*$C$15</f>
        <v/>
      </c>
      <c r="M496" s="33">
        <f>J496-K496-L496</f>
        <v/>
      </c>
    </row>
    <row r="497">
      <c r="E497" s="20" t="n">
        <v>489</v>
      </c>
      <c r="F497" s="32">
        <f>MAX(0.03,MIN(0.18,NORMINV(RAND(),$C$9,$C$10)))</f>
        <v/>
      </c>
      <c r="G497" s="32">
        <f>MAX(0.02,MIN(0.9,NORMINV(RAND(),$C$11,0.10)))</f>
        <v/>
      </c>
      <c r="H497" s="32">
        <f>MAX(0.02,MIN(0.98,NORMINV(RAND(),$C$13,0.15)))</f>
        <v/>
      </c>
      <c r="I497" s="32">
        <f>MAX(0,NORMINV(RAND(),$C$14,0.033))</f>
        <v/>
      </c>
      <c r="J497" s="33">
        <f>($C$7*$C$8/365)*F497</f>
        <v/>
      </c>
      <c r="K497" s="33">
        <f>$C$7*G497*$C$12*H497</f>
        <v/>
      </c>
      <c r="L497" s="33">
        <f>$C$7*I497*$C$15</f>
        <v/>
      </c>
      <c r="M497" s="33">
        <f>J497-K497-L497</f>
        <v/>
      </c>
    </row>
    <row r="498">
      <c r="E498" s="20" t="n">
        <v>490</v>
      </c>
      <c r="F498" s="32">
        <f>MAX(0.03,MIN(0.18,NORMINV(RAND(),$C$9,$C$10)))</f>
        <v/>
      </c>
      <c r="G498" s="32">
        <f>MAX(0.02,MIN(0.9,NORMINV(RAND(),$C$11,0.10)))</f>
        <v/>
      </c>
      <c r="H498" s="32">
        <f>MAX(0.02,MIN(0.98,NORMINV(RAND(),$C$13,0.15)))</f>
        <v/>
      </c>
      <c r="I498" s="32">
        <f>MAX(0,NORMINV(RAND(),$C$14,0.033))</f>
        <v/>
      </c>
      <c r="J498" s="33">
        <f>($C$7*$C$8/365)*F498</f>
        <v/>
      </c>
      <c r="K498" s="33">
        <f>$C$7*G498*$C$12*H498</f>
        <v/>
      </c>
      <c r="L498" s="33">
        <f>$C$7*I498*$C$15</f>
        <v/>
      </c>
      <c r="M498" s="33">
        <f>J498-K498-L498</f>
        <v/>
      </c>
    </row>
    <row r="499">
      <c r="E499" s="20" t="n">
        <v>491</v>
      </c>
      <c r="F499" s="32">
        <f>MAX(0.03,MIN(0.18,NORMINV(RAND(),$C$9,$C$10)))</f>
        <v/>
      </c>
      <c r="G499" s="32">
        <f>MAX(0.02,MIN(0.9,NORMINV(RAND(),$C$11,0.10)))</f>
        <v/>
      </c>
      <c r="H499" s="32">
        <f>MAX(0.02,MIN(0.98,NORMINV(RAND(),$C$13,0.15)))</f>
        <v/>
      </c>
      <c r="I499" s="32">
        <f>MAX(0,NORMINV(RAND(),$C$14,0.033))</f>
        <v/>
      </c>
      <c r="J499" s="33">
        <f>($C$7*$C$8/365)*F499</f>
        <v/>
      </c>
      <c r="K499" s="33">
        <f>$C$7*G499*$C$12*H499</f>
        <v/>
      </c>
      <c r="L499" s="33">
        <f>$C$7*I499*$C$15</f>
        <v/>
      </c>
      <c r="M499" s="33">
        <f>J499-K499-L499</f>
        <v/>
      </c>
    </row>
    <row r="500">
      <c r="E500" s="20" t="n">
        <v>492</v>
      </c>
      <c r="F500" s="32">
        <f>MAX(0.03,MIN(0.18,NORMINV(RAND(),$C$9,$C$10)))</f>
        <v/>
      </c>
      <c r="G500" s="32">
        <f>MAX(0.02,MIN(0.9,NORMINV(RAND(),$C$11,0.10)))</f>
        <v/>
      </c>
      <c r="H500" s="32">
        <f>MAX(0.02,MIN(0.98,NORMINV(RAND(),$C$13,0.15)))</f>
        <v/>
      </c>
      <c r="I500" s="32">
        <f>MAX(0,NORMINV(RAND(),$C$14,0.033))</f>
        <v/>
      </c>
      <c r="J500" s="33">
        <f>($C$7*$C$8/365)*F500</f>
        <v/>
      </c>
      <c r="K500" s="33">
        <f>$C$7*G500*$C$12*H500</f>
        <v/>
      </c>
      <c r="L500" s="33">
        <f>$C$7*I500*$C$15</f>
        <v/>
      </c>
      <c r="M500" s="33">
        <f>J500-K500-L500</f>
        <v/>
      </c>
    </row>
    <row r="501">
      <c r="E501" s="20" t="n">
        <v>493</v>
      </c>
      <c r="F501" s="32">
        <f>MAX(0.03,MIN(0.18,NORMINV(RAND(),$C$9,$C$10)))</f>
        <v/>
      </c>
      <c r="G501" s="32">
        <f>MAX(0.02,MIN(0.9,NORMINV(RAND(),$C$11,0.10)))</f>
        <v/>
      </c>
      <c r="H501" s="32">
        <f>MAX(0.02,MIN(0.98,NORMINV(RAND(),$C$13,0.15)))</f>
        <v/>
      </c>
      <c r="I501" s="32">
        <f>MAX(0,NORMINV(RAND(),$C$14,0.033))</f>
        <v/>
      </c>
      <c r="J501" s="33">
        <f>($C$7*$C$8/365)*F501</f>
        <v/>
      </c>
      <c r="K501" s="33">
        <f>$C$7*G501*$C$12*H501</f>
        <v/>
      </c>
      <c r="L501" s="33">
        <f>$C$7*I501*$C$15</f>
        <v/>
      </c>
      <c r="M501" s="33">
        <f>J501-K501-L501</f>
        <v/>
      </c>
    </row>
    <row r="502">
      <c r="E502" s="20" t="n">
        <v>494</v>
      </c>
      <c r="F502" s="32">
        <f>MAX(0.03,MIN(0.18,NORMINV(RAND(),$C$9,$C$10)))</f>
        <v/>
      </c>
      <c r="G502" s="32">
        <f>MAX(0.02,MIN(0.9,NORMINV(RAND(),$C$11,0.10)))</f>
        <v/>
      </c>
      <c r="H502" s="32">
        <f>MAX(0.02,MIN(0.98,NORMINV(RAND(),$C$13,0.15)))</f>
        <v/>
      </c>
      <c r="I502" s="32">
        <f>MAX(0,NORMINV(RAND(),$C$14,0.033))</f>
        <v/>
      </c>
      <c r="J502" s="33">
        <f>($C$7*$C$8/365)*F502</f>
        <v/>
      </c>
      <c r="K502" s="33">
        <f>$C$7*G502*$C$12*H502</f>
        <v/>
      </c>
      <c r="L502" s="33">
        <f>$C$7*I502*$C$15</f>
        <v/>
      </c>
      <c r="M502" s="33">
        <f>J502-K502-L502</f>
        <v/>
      </c>
    </row>
    <row r="503">
      <c r="E503" s="20" t="n">
        <v>495</v>
      </c>
      <c r="F503" s="32">
        <f>MAX(0.03,MIN(0.18,NORMINV(RAND(),$C$9,$C$10)))</f>
        <v/>
      </c>
      <c r="G503" s="32">
        <f>MAX(0.02,MIN(0.9,NORMINV(RAND(),$C$11,0.10)))</f>
        <v/>
      </c>
      <c r="H503" s="32">
        <f>MAX(0.02,MIN(0.98,NORMINV(RAND(),$C$13,0.15)))</f>
        <v/>
      </c>
      <c r="I503" s="32">
        <f>MAX(0,NORMINV(RAND(),$C$14,0.033))</f>
        <v/>
      </c>
      <c r="J503" s="33">
        <f>($C$7*$C$8/365)*F503</f>
        <v/>
      </c>
      <c r="K503" s="33">
        <f>$C$7*G503*$C$12*H503</f>
        <v/>
      </c>
      <c r="L503" s="33">
        <f>$C$7*I503*$C$15</f>
        <v/>
      </c>
      <c r="M503" s="33">
        <f>J503-K503-L503</f>
        <v/>
      </c>
    </row>
    <row r="504">
      <c r="E504" s="20" t="n">
        <v>496</v>
      </c>
      <c r="F504" s="32">
        <f>MAX(0.03,MIN(0.18,NORMINV(RAND(),$C$9,$C$10)))</f>
        <v/>
      </c>
      <c r="G504" s="32">
        <f>MAX(0.02,MIN(0.9,NORMINV(RAND(),$C$11,0.10)))</f>
        <v/>
      </c>
      <c r="H504" s="32">
        <f>MAX(0.02,MIN(0.98,NORMINV(RAND(),$C$13,0.15)))</f>
        <v/>
      </c>
      <c r="I504" s="32">
        <f>MAX(0,NORMINV(RAND(),$C$14,0.033))</f>
        <v/>
      </c>
      <c r="J504" s="33">
        <f>($C$7*$C$8/365)*F504</f>
        <v/>
      </c>
      <c r="K504" s="33">
        <f>$C$7*G504*$C$12*H504</f>
        <v/>
      </c>
      <c r="L504" s="33">
        <f>$C$7*I504*$C$15</f>
        <v/>
      </c>
      <c r="M504" s="33">
        <f>J504-K504-L504</f>
        <v/>
      </c>
    </row>
    <row r="505">
      <c r="E505" s="20" t="n">
        <v>497</v>
      </c>
      <c r="F505" s="32">
        <f>MAX(0.03,MIN(0.18,NORMINV(RAND(),$C$9,$C$10)))</f>
        <v/>
      </c>
      <c r="G505" s="32">
        <f>MAX(0.02,MIN(0.9,NORMINV(RAND(),$C$11,0.10)))</f>
        <v/>
      </c>
      <c r="H505" s="32">
        <f>MAX(0.02,MIN(0.98,NORMINV(RAND(),$C$13,0.15)))</f>
        <v/>
      </c>
      <c r="I505" s="32">
        <f>MAX(0,NORMINV(RAND(),$C$14,0.033))</f>
        <v/>
      </c>
      <c r="J505" s="33">
        <f>($C$7*$C$8/365)*F505</f>
        <v/>
      </c>
      <c r="K505" s="33">
        <f>$C$7*G505*$C$12*H505</f>
        <v/>
      </c>
      <c r="L505" s="33">
        <f>$C$7*I505*$C$15</f>
        <v/>
      </c>
      <c r="M505" s="33">
        <f>J505-K505-L505</f>
        <v/>
      </c>
    </row>
    <row r="506">
      <c r="E506" s="20" t="n">
        <v>498</v>
      </c>
      <c r="F506" s="32">
        <f>MAX(0.03,MIN(0.18,NORMINV(RAND(),$C$9,$C$10)))</f>
        <v/>
      </c>
      <c r="G506" s="32">
        <f>MAX(0.02,MIN(0.9,NORMINV(RAND(),$C$11,0.10)))</f>
        <v/>
      </c>
      <c r="H506" s="32">
        <f>MAX(0.02,MIN(0.98,NORMINV(RAND(),$C$13,0.15)))</f>
        <v/>
      </c>
      <c r="I506" s="32">
        <f>MAX(0,NORMINV(RAND(),$C$14,0.033))</f>
        <v/>
      </c>
      <c r="J506" s="33">
        <f>($C$7*$C$8/365)*F506</f>
        <v/>
      </c>
      <c r="K506" s="33">
        <f>$C$7*G506*$C$12*H506</f>
        <v/>
      </c>
      <c r="L506" s="33">
        <f>$C$7*I506*$C$15</f>
        <v/>
      </c>
      <c r="M506" s="33">
        <f>J506-K506-L506</f>
        <v/>
      </c>
    </row>
    <row r="507">
      <c r="E507" s="20" t="n">
        <v>499</v>
      </c>
      <c r="F507" s="32">
        <f>MAX(0.03,MIN(0.18,NORMINV(RAND(),$C$9,$C$10)))</f>
        <v/>
      </c>
      <c r="G507" s="32">
        <f>MAX(0.02,MIN(0.9,NORMINV(RAND(),$C$11,0.10)))</f>
        <v/>
      </c>
      <c r="H507" s="32">
        <f>MAX(0.02,MIN(0.98,NORMINV(RAND(),$C$13,0.15)))</f>
        <v/>
      </c>
      <c r="I507" s="32">
        <f>MAX(0,NORMINV(RAND(),$C$14,0.033))</f>
        <v/>
      </c>
      <c r="J507" s="33">
        <f>($C$7*$C$8/365)*F507</f>
        <v/>
      </c>
      <c r="K507" s="33">
        <f>$C$7*G507*$C$12*H507</f>
        <v/>
      </c>
      <c r="L507" s="33">
        <f>$C$7*I507*$C$15</f>
        <v/>
      </c>
      <c r="M507" s="33">
        <f>J507-K507-L507</f>
        <v/>
      </c>
    </row>
    <row r="508">
      <c r="E508" s="20" t="n">
        <v>500</v>
      </c>
      <c r="F508" s="32">
        <f>MAX(0.03,MIN(0.18,NORMINV(RAND(),$C$9,$C$10)))</f>
        <v/>
      </c>
      <c r="G508" s="32">
        <f>MAX(0.02,MIN(0.9,NORMINV(RAND(),$C$11,0.10)))</f>
        <v/>
      </c>
      <c r="H508" s="32">
        <f>MAX(0.02,MIN(0.98,NORMINV(RAND(),$C$13,0.15)))</f>
        <v/>
      </c>
      <c r="I508" s="32">
        <f>MAX(0,NORMINV(RAND(),$C$14,0.033))</f>
        <v/>
      </c>
      <c r="J508" s="33">
        <f>($C$7*$C$8/365)*F508</f>
        <v/>
      </c>
      <c r="K508" s="33">
        <f>$C$7*G508*$C$12*H508</f>
        <v/>
      </c>
      <c r="L508" s="33">
        <f>$C$7*I508*$C$15</f>
        <v/>
      </c>
      <c r="M508" s="33">
        <f>J508-K508-L508</f>
        <v/>
      </c>
    </row>
    <row r="509">
      <c r="E509" s="20" t="n">
        <v>501</v>
      </c>
      <c r="F509" s="32">
        <f>MAX(0.03,MIN(0.18,NORMINV(RAND(),$C$9,$C$10)))</f>
        <v/>
      </c>
      <c r="G509" s="32">
        <f>MAX(0.02,MIN(0.9,NORMINV(RAND(),$C$11,0.10)))</f>
        <v/>
      </c>
      <c r="H509" s="32">
        <f>MAX(0.02,MIN(0.98,NORMINV(RAND(),$C$13,0.15)))</f>
        <v/>
      </c>
      <c r="I509" s="32">
        <f>MAX(0,NORMINV(RAND(),$C$14,0.033))</f>
        <v/>
      </c>
      <c r="J509" s="33">
        <f>($C$7*$C$8/365)*F509</f>
        <v/>
      </c>
      <c r="K509" s="33">
        <f>$C$7*G509*$C$12*H509</f>
        <v/>
      </c>
      <c r="L509" s="33">
        <f>$C$7*I509*$C$15</f>
        <v/>
      </c>
      <c r="M509" s="33">
        <f>J509-K509-L509</f>
        <v/>
      </c>
    </row>
    <row r="510">
      <c r="E510" s="20" t="n">
        <v>502</v>
      </c>
      <c r="F510" s="32">
        <f>MAX(0.03,MIN(0.18,NORMINV(RAND(),$C$9,$C$10)))</f>
        <v/>
      </c>
      <c r="G510" s="32">
        <f>MAX(0.02,MIN(0.9,NORMINV(RAND(),$C$11,0.10)))</f>
        <v/>
      </c>
      <c r="H510" s="32">
        <f>MAX(0.02,MIN(0.98,NORMINV(RAND(),$C$13,0.15)))</f>
        <v/>
      </c>
      <c r="I510" s="32">
        <f>MAX(0,NORMINV(RAND(),$C$14,0.033))</f>
        <v/>
      </c>
      <c r="J510" s="33">
        <f>($C$7*$C$8/365)*F510</f>
        <v/>
      </c>
      <c r="K510" s="33">
        <f>$C$7*G510*$C$12*H510</f>
        <v/>
      </c>
      <c r="L510" s="33">
        <f>$C$7*I510*$C$15</f>
        <v/>
      </c>
      <c r="M510" s="33">
        <f>J510-K510-L510</f>
        <v/>
      </c>
    </row>
    <row r="511">
      <c r="E511" s="20" t="n">
        <v>503</v>
      </c>
      <c r="F511" s="32">
        <f>MAX(0.03,MIN(0.18,NORMINV(RAND(),$C$9,$C$10)))</f>
        <v/>
      </c>
      <c r="G511" s="32">
        <f>MAX(0.02,MIN(0.9,NORMINV(RAND(),$C$11,0.10)))</f>
        <v/>
      </c>
      <c r="H511" s="32">
        <f>MAX(0.02,MIN(0.98,NORMINV(RAND(),$C$13,0.15)))</f>
        <v/>
      </c>
      <c r="I511" s="32">
        <f>MAX(0,NORMINV(RAND(),$C$14,0.033))</f>
        <v/>
      </c>
      <c r="J511" s="33">
        <f>($C$7*$C$8/365)*F511</f>
        <v/>
      </c>
      <c r="K511" s="33">
        <f>$C$7*G511*$C$12*H511</f>
        <v/>
      </c>
      <c r="L511" s="33">
        <f>$C$7*I511*$C$15</f>
        <v/>
      </c>
      <c r="M511" s="33">
        <f>J511-K511-L511</f>
        <v/>
      </c>
    </row>
    <row r="512">
      <c r="E512" s="20" t="n">
        <v>504</v>
      </c>
      <c r="F512" s="32">
        <f>MAX(0.03,MIN(0.18,NORMINV(RAND(),$C$9,$C$10)))</f>
        <v/>
      </c>
      <c r="G512" s="32">
        <f>MAX(0.02,MIN(0.9,NORMINV(RAND(),$C$11,0.10)))</f>
        <v/>
      </c>
      <c r="H512" s="32">
        <f>MAX(0.02,MIN(0.98,NORMINV(RAND(),$C$13,0.15)))</f>
        <v/>
      </c>
      <c r="I512" s="32">
        <f>MAX(0,NORMINV(RAND(),$C$14,0.033))</f>
        <v/>
      </c>
      <c r="J512" s="33">
        <f>($C$7*$C$8/365)*F512</f>
        <v/>
      </c>
      <c r="K512" s="33">
        <f>$C$7*G512*$C$12*H512</f>
        <v/>
      </c>
      <c r="L512" s="33">
        <f>$C$7*I512*$C$15</f>
        <v/>
      </c>
      <c r="M512" s="33">
        <f>J512-K512-L512</f>
        <v/>
      </c>
    </row>
    <row r="513">
      <c r="E513" s="20" t="n">
        <v>505</v>
      </c>
      <c r="F513" s="32">
        <f>MAX(0.03,MIN(0.18,NORMINV(RAND(),$C$9,$C$10)))</f>
        <v/>
      </c>
      <c r="G513" s="32">
        <f>MAX(0.02,MIN(0.9,NORMINV(RAND(),$C$11,0.10)))</f>
        <v/>
      </c>
      <c r="H513" s="32">
        <f>MAX(0.02,MIN(0.98,NORMINV(RAND(),$C$13,0.15)))</f>
        <v/>
      </c>
      <c r="I513" s="32">
        <f>MAX(0,NORMINV(RAND(),$C$14,0.033))</f>
        <v/>
      </c>
      <c r="J513" s="33">
        <f>($C$7*$C$8/365)*F513</f>
        <v/>
      </c>
      <c r="K513" s="33">
        <f>$C$7*G513*$C$12*H513</f>
        <v/>
      </c>
      <c r="L513" s="33">
        <f>$C$7*I513*$C$15</f>
        <v/>
      </c>
      <c r="M513" s="33">
        <f>J513-K513-L513</f>
        <v/>
      </c>
    </row>
    <row r="514">
      <c r="E514" s="20" t="n">
        <v>506</v>
      </c>
      <c r="F514" s="32">
        <f>MAX(0.03,MIN(0.18,NORMINV(RAND(),$C$9,$C$10)))</f>
        <v/>
      </c>
      <c r="G514" s="32">
        <f>MAX(0.02,MIN(0.9,NORMINV(RAND(),$C$11,0.10)))</f>
        <v/>
      </c>
      <c r="H514" s="32">
        <f>MAX(0.02,MIN(0.98,NORMINV(RAND(),$C$13,0.15)))</f>
        <v/>
      </c>
      <c r="I514" s="32">
        <f>MAX(0,NORMINV(RAND(),$C$14,0.033))</f>
        <v/>
      </c>
      <c r="J514" s="33">
        <f>($C$7*$C$8/365)*F514</f>
        <v/>
      </c>
      <c r="K514" s="33">
        <f>$C$7*G514*$C$12*H514</f>
        <v/>
      </c>
      <c r="L514" s="33">
        <f>$C$7*I514*$C$15</f>
        <v/>
      </c>
      <c r="M514" s="33">
        <f>J514-K514-L514</f>
        <v/>
      </c>
    </row>
    <row r="515">
      <c r="E515" s="20" t="n">
        <v>507</v>
      </c>
      <c r="F515" s="32">
        <f>MAX(0.03,MIN(0.18,NORMINV(RAND(),$C$9,$C$10)))</f>
        <v/>
      </c>
      <c r="G515" s="32">
        <f>MAX(0.02,MIN(0.9,NORMINV(RAND(),$C$11,0.10)))</f>
        <v/>
      </c>
      <c r="H515" s="32">
        <f>MAX(0.02,MIN(0.98,NORMINV(RAND(),$C$13,0.15)))</f>
        <v/>
      </c>
      <c r="I515" s="32">
        <f>MAX(0,NORMINV(RAND(),$C$14,0.033))</f>
        <v/>
      </c>
      <c r="J515" s="33">
        <f>($C$7*$C$8/365)*F515</f>
        <v/>
      </c>
      <c r="K515" s="33">
        <f>$C$7*G515*$C$12*H515</f>
        <v/>
      </c>
      <c r="L515" s="33">
        <f>$C$7*I515*$C$15</f>
        <v/>
      </c>
      <c r="M515" s="33">
        <f>J515-K515-L515</f>
        <v/>
      </c>
    </row>
    <row r="516">
      <c r="E516" s="20" t="n">
        <v>508</v>
      </c>
      <c r="F516" s="32">
        <f>MAX(0.03,MIN(0.18,NORMINV(RAND(),$C$9,$C$10)))</f>
        <v/>
      </c>
      <c r="G516" s="32">
        <f>MAX(0.02,MIN(0.9,NORMINV(RAND(),$C$11,0.10)))</f>
        <v/>
      </c>
      <c r="H516" s="32">
        <f>MAX(0.02,MIN(0.98,NORMINV(RAND(),$C$13,0.15)))</f>
        <v/>
      </c>
      <c r="I516" s="32">
        <f>MAX(0,NORMINV(RAND(),$C$14,0.033))</f>
        <v/>
      </c>
      <c r="J516" s="33">
        <f>($C$7*$C$8/365)*F516</f>
        <v/>
      </c>
      <c r="K516" s="33">
        <f>$C$7*G516*$C$12*H516</f>
        <v/>
      </c>
      <c r="L516" s="33">
        <f>$C$7*I516*$C$15</f>
        <v/>
      </c>
      <c r="M516" s="33">
        <f>J516-K516-L516</f>
        <v/>
      </c>
    </row>
    <row r="517">
      <c r="E517" s="20" t="n">
        <v>509</v>
      </c>
      <c r="F517" s="32">
        <f>MAX(0.03,MIN(0.18,NORMINV(RAND(),$C$9,$C$10)))</f>
        <v/>
      </c>
      <c r="G517" s="32">
        <f>MAX(0.02,MIN(0.9,NORMINV(RAND(),$C$11,0.10)))</f>
        <v/>
      </c>
      <c r="H517" s="32">
        <f>MAX(0.02,MIN(0.98,NORMINV(RAND(),$C$13,0.15)))</f>
        <v/>
      </c>
      <c r="I517" s="32">
        <f>MAX(0,NORMINV(RAND(),$C$14,0.033))</f>
        <v/>
      </c>
      <c r="J517" s="33">
        <f>($C$7*$C$8/365)*F517</f>
        <v/>
      </c>
      <c r="K517" s="33">
        <f>$C$7*G517*$C$12*H517</f>
        <v/>
      </c>
      <c r="L517" s="33">
        <f>$C$7*I517*$C$15</f>
        <v/>
      </c>
      <c r="M517" s="33">
        <f>J517-K517-L517</f>
        <v/>
      </c>
    </row>
    <row r="518">
      <c r="E518" s="20" t="n">
        <v>510</v>
      </c>
      <c r="F518" s="32">
        <f>MAX(0.03,MIN(0.18,NORMINV(RAND(),$C$9,$C$10)))</f>
        <v/>
      </c>
      <c r="G518" s="32">
        <f>MAX(0.02,MIN(0.9,NORMINV(RAND(),$C$11,0.10)))</f>
        <v/>
      </c>
      <c r="H518" s="32">
        <f>MAX(0.02,MIN(0.98,NORMINV(RAND(),$C$13,0.15)))</f>
        <v/>
      </c>
      <c r="I518" s="32">
        <f>MAX(0,NORMINV(RAND(),$C$14,0.033))</f>
        <v/>
      </c>
      <c r="J518" s="33">
        <f>($C$7*$C$8/365)*F518</f>
        <v/>
      </c>
      <c r="K518" s="33">
        <f>$C$7*G518*$C$12*H518</f>
        <v/>
      </c>
      <c r="L518" s="33">
        <f>$C$7*I518*$C$15</f>
        <v/>
      </c>
      <c r="M518" s="33">
        <f>J518-K518-L518</f>
        <v/>
      </c>
    </row>
    <row r="519">
      <c r="E519" s="20" t="n">
        <v>511</v>
      </c>
      <c r="F519" s="32">
        <f>MAX(0.03,MIN(0.18,NORMINV(RAND(),$C$9,$C$10)))</f>
        <v/>
      </c>
      <c r="G519" s="32">
        <f>MAX(0.02,MIN(0.9,NORMINV(RAND(),$C$11,0.10)))</f>
        <v/>
      </c>
      <c r="H519" s="32">
        <f>MAX(0.02,MIN(0.98,NORMINV(RAND(),$C$13,0.15)))</f>
        <v/>
      </c>
      <c r="I519" s="32">
        <f>MAX(0,NORMINV(RAND(),$C$14,0.033))</f>
        <v/>
      </c>
      <c r="J519" s="33">
        <f>($C$7*$C$8/365)*F519</f>
        <v/>
      </c>
      <c r="K519" s="33">
        <f>$C$7*G519*$C$12*H519</f>
        <v/>
      </c>
      <c r="L519" s="33">
        <f>$C$7*I519*$C$15</f>
        <v/>
      </c>
      <c r="M519" s="33">
        <f>J519-K519-L519</f>
        <v/>
      </c>
    </row>
    <row r="520">
      <c r="E520" s="20" t="n">
        <v>512</v>
      </c>
      <c r="F520" s="32">
        <f>MAX(0.03,MIN(0.18,NORMINV(RAND(),$C$9,$C$10)))</f>
        <v/>
      </c>
      <c r="G520" s="32">
        <f>MAX(0.02,MIN(0.9,NORMINV(RAND(),$C$11,0.10)))</f>
        <v/>
      </c>
      <c r="H520" s="32">
        <f>MAX(0.02,MIN(0.98,NORMINV(RAND(),$C$13,0.15)))</f>
        <v/>
      </c>
      <c r="I520" s="32">
        <f>MAX(0,NORMINV(RAND(),$C$14,0.033))</f>
        <v/>
      </c>
      <c r="J520" s="33">
        <f>($C$7*$C$8/365)*F520</f>
        <v/>
      </c>
      <c r="K520" s="33">
        <f>$C$7*G520*$C$12*H520</f>
        <v/>
      </c>
      <c r="L520" s="33">
        <f>$C$7*I520*$C$15</f>
        <v/>
      </c>
      <c r="M520" s="33">
        <f>J520-K520-L520</f>
        <v/>
      </c>
    </row>
    <row r="521">
      <c r="E521" s="20" t="n">
        <v>513</v>
      </c>
      <c r="F521" s="32">
        <f>MAX(0.03,MIN(0.18,NORMINV(RAND(),$C$9,$C$10)))</f>
        <v/>
      </c>
      <c r="G521" s="32">
        <f>MAX(0.02,MIN(0.9,NORMINV(RAND(),$C$11,0.10)))</f>
        <v/>
      </c>
      <c r="H521" s="32">
        <f>MAX(0.02,MIN(0.98,NORMINV(RAND(),$C$13,0.15)))</f>
        <v/>
      </c>
      <c r="I521" s="32">
        <f>MAX(0,NORMINV(RAND(),$C$14,0.033))</f>
        <v/>
      </c>
      <c r="J521" s="33">
        <f>($C$7*$C$8/365)*F521</f>
        <v/>
      </c>
      <c r="K521" s="33">
        <f>$C$7*G521*$C$12*H521</f>
        <v/>
      </c>
      <c r="L521" s="33">
        <f>$C$7*I521*$C$15</f>
        <v/>
      </c>
      <c r="M521" s="33">
        <f>J521-K521-L521</f>
        <v/>
      </c>
    </row>
    <row r="522">
      <c r="E522" s="20" t="n">
        <v>514</v>
      </c>
      <c r="F522" s="32">
        <f>MAX(0.03,MIN(0.18,NORMINV(RAND(),$C$9,$C$10)))</f>
        <v/>
      </c>
      <c r="G522" s="32">
        <f>MAX(0.02,MIN(0.9,NORMINV(RAND(),$C$11,0.10)))</f>
        <v/>
      </c>
      <c r="H522" s="32">
        <f>MAX(0.02,MIN(0.98,NORMINV(RAND(),$C$13,0.15)))</f>
        <v/>
      </c>
      <c r="I522" s="32">
        <f>MAX(0,NORMINV(RAND(),$C$14,0.033))</f>
        <v/>
      </c>
      <c r="J522" s="33">
        <f>($C$7*$C$8/365)*F522</f>
        <v/>
      </c>
      <c r="K522" s="33">
        <f>$C$7*G522*$C$12*H522</f>
        <v/>
      </c>
      <c r="L522" s="33">
        <f>$C$7*I522*$C$15</f>
        <v/>
      </c>
      <c r="M522" s="33">
        <f>J522-K522-L522</f>
        <v/>
      </c>
    </row>
    <row r="523">
      <c r="E523" s="20" t="n">
        <v>515</v>
      </c>
      <c r="F523" s="32">
        <f>MAX(0.03,MIN(0.18,NORMINV(RAND(),$C$9,$C$10)))</f>
        <v/>
      </c>
      <c r="G523" s="32">
        <f>MAX(0.02,MIN(0.9,NORMINV(RAND(),$C$11,0.10)))</f>
        <v/>
      </c>
      <c r="H523" s="32">
        <f>MAX(0.02,MIN(0.98,NORMINV(RAND(),$C$13,0.15)))</f>
        <v/>
      </c>
      <c r="I523" s="32">
        <f>MAX(0,NORMINV(RAND(),$C$14,0.033))</f>
        <v/>
      </c>
      <c r="J523" s="33">
        <f>($C$7*$C$8/365)*F523</f>
        <v/>
      </c>
      <c r="K523" s="33">
        <f>$C$7*G523*$C$12*H523</f>
        <v/>
      </c>
      <c r="L523" s="33">
        <f>$C$7*I523*$C$15</f>
        <v/>
      </c>
      <c r="M523" s="33">
        <f>J523-K523-L523</f>
        <v/>
      </c>
    </row>
    <row r="524">
      <c r="E524" s="20" t="n">
        <v>516</v>
      </c>
      <c r="F524" s="32">
        <f>MAX(0.03,MIN(0.18,NORMINV(RAND(),$C$9,$C$10)))</f>
        <v/>
      </c>
      <c r="G524" s="32">
        <f>MAX(0.02,MIN(0.9,NORMINV(RAND(),$C$11,0.10)))</f>
        <v/>
      </c>
      <c r="H524" s="32">
        <f>MAX(0.02,MIN(0.98,NORMINV(RAND(),$C$13,0.15)))</f>
        <v/>
      </c>
      <c r="I524" s="32">
        <f>MAX(0,NORMINV(RAND(),$C$14,0.033))</f>
        <v/>
      </c>
      <c r="J524" s="33">
        <f>($C$7*$C$8/365)*F524</f>
        <v/>
      </c>
      <c r="K524" s="33">
        <f>$C$7*G524*$C$12*H524</f>
        <v/>
      </c>
      <c r="L524" s="33">
        <f>$C$7*I524*$C$15</f>
        <v/>
      </c>
      <c r="M524" s="33">
        <f>J524-K524-L524</f>
        <v/>
      </c>
    </row>
    <row r="525">
      <c r="E525" s="20" t="n">
        <v>517</v>
      </c>
      <c r="F525" s="32">
        <f>MAX(0.03,MIN(0.18,NORMINV(RAND(),$C$9,$C$10)))</f>
        <v/>
      </c>
      <c r="G525" s="32">
        <f>MAX(0.02,MIN(0.9,NORMINV(RAND(),$C$11,0.10)))</f>
        <v/>
      </c>
      <c r="H525" s="32">
        <f>MAX(0.02,MIN(0.98,NORMINV(RAND(),$C$13,0.15)))</f>
        <v/>
      </c>
      <c r="I525" s="32">
        <f>MAX(0,NORMINV(RAND(),$C$14,0.033))</f>
        <v/>
      </c>
      <c r="J525" s="33">
        <f>($C$7*$C$8/365)*F525</f>
        <v/>
      </c>
      <c r="K525" s="33">
        <f>$C$7*G525*$C$12*H525</f>
        <v/>
      </c>
      <c r="L525" s="33">
        <f>$C$7*I525*$C$15</f>
        <v/>
      </c>
      <c r="M525" s="33">
        <f>J525-K525-L525</f>
        <v/>
      </c>
    </row>
    <row r="526">
      <c r="E526" s="20" t="n">
        <v>518</v>
      </c>
      <c r="F526" s="32">
        <f>MAX(0.03,MIN(0.18,NORMINV(RAND(),$C$9,$C$10)))</f>
        <v/>
      </c>
      <c r="G526" s="32">
        <f>MAX(0.02,MIN(0.9,NORMINV(RAND(),$C$11,0.10)))</f>
        <v/>
      </c>
      <c r="H526" s="32">
        <f>MAX(0.02,MIN(0.98,NORMINV(RAND(),$C$13,0.15)))</f>
        <v/>
      </c>
      <c r="I526" s="32">
        <f>MAX(0,NORMINV(RAND(),$C$14,0.033))</f>
        <v/>
      </c>
      <c r="J526" s="33">
        <f>($C$7*$C$8/365)*F526</f>
        <v/>
      </c>
      <c r="K526" s="33">
        <f>$C$7*G526*$C$12*H526</f>
        <v/>
      </c>
      <c r="L526" s="33">
        <f>$C$7*I526*$C$15</f>
        <v/>
      </c>
      <c r="M526" s="33">
        <f>J526-K526-L526</f>
        <v/>
      </c>
    </row>
    <row r="527">
      <c r="E527" s="20" t="n">
        <v>519</v>
      </c>
      <c r="F527" s="32">
        <f>MAX(0.03,MIN(0.18,NORMINV(RAND(),$C$9,$C$10)))</f>
        <v/>
      </c>
      <c r="G527" s="32">
        <f>MAX(0.02,MIN(0.9,NORMINV(RAND(),$C$11,0.10)))</f>
        <v/>
      </c>
      <c r="H527" s="32">
        <f>MAX(0.02,MIN(0.98,NORMINV(RAND(),$C$13,0.15)))</f>
        <v/>
      </c>
      <c r="I527" s="32">
        <f>MAX(0,NORMINV(RAND(),$C$14,0.033))</f>
        <v/>
      </c>
      <c r="J527" s="33">
        <f>($C$7*$C$8/365)*F527</f>
        <v/>
      </c>
      <c r="K527" s="33">
        <f>$C$7*G527*$C$12*H527</f>
        <v/>
      </c>
      <c r="L527" s="33">
        <f>$C$7*I527*$C$15</f>
        <v/>
      </c>
      <c r="M527" s="33">
        <f>J527-K527-L527</f>
        <v/>
      </c>
    </row>
    <row r="528">
      <c r="E528" s="20" t="n">
        <v>520</v>
      </c>
      <c r="F528" s="32">
        <f>MAX(0.03,MIN(0.18,NORMINV(RAND(),$C$9,$C$10)))</f>
        <v/>
      </c>
      <c r="G528" s="32">
        <f>MAX(0.02,MIN(0.9,NORMINV(RAND(),$C$11,0.10)))</f>
        <v/>
      </c>
      <c r="H528" s="32">
        <f>MAX(0.02,MIN(0.98,NORMINV(RAND(),$C$13,0.15)))</f>
        <v/>
      </c>
      <c r="I528" s="32">
        <f>MAX(0,NORMINV(RAND(),$C$14,0.033))</f>
        <v/>
      </c>
      <c r="J528" s="33">
        <f>($C$7*$C$8/365)*F528</f>
        <v/>
      </c>
      <c r="K528" s="33">
        <f>$C$7*G528*$C$12*H528</f>
        <v/>
      </c>
      <c r="L528" s="33">
        <f>$C$7*I528*$C$15</f>
        <v/>
      </c>
      <c r="M528" s="33">
        <f>J528-K528-L528</f>
        <v/>
      </c>
    </row>
    <row r="529">
      <c r="E529" s="20" t="n">
        <v>521</v>
      </c>
      <c r="F529" s="32">
        <f>MAX(0.03,MIN(0.18,NORMINV(RAND(),$C$9,$C$10)))</f>
        <v/>
      </c>
      <c r="G529" s="32">
        <f>MAX(0.02,MIN(0.9,NORMINV(RAND(),$C$11,0.10)))</f>
        <v/>
      </c>
      <c r="H529" s="32">
        <f>MAX(0.02,MIN(0.98,NORMINV(RAND(),$C$13,0.15)))</f>
        <v/>
      </c>
      <c r="I529" s="32">
        <f>MAX(0,NORMINV(RAND(),$C$14,0.033))</f>
        <v/>
      </c>
      <c r="J529" s="33">
        <f>($C$7*$C$8/365)*F529</f>
        <v/>
      </c>
      <c r="K529" s="33">
        <f>$C$7*G529*$C$12*H529</f>
        <v/>
      </c>
      <c r="L529" s="33">
        <f>$C$7*I529*$C$15</f>
        <v/>
      </c>
      <c r="M529" s="33">
        <f>J529-K529-L529</f>
        <v/>
      </c>
    </row>
    <row r="530">
      <c r="E530" s="20" t="n">
        <v>522</v>
      </c>
      <c r="F530" s="32">
        <f>MAX(0.03,MIN(0.18,NORMINV(RAND(),$C$9,$C$10)))</f>
        <v/>
      </c>
      <c r="G530" s="32">
        <f>MAX(0.02,MIN(0.9,NORMINV(RAND(),$C$11,0.10)))</f>
        <v/>
      </c>
      <c r="H530" s="32">
        <f>MAX(0.02,MIN(0.98,NORMINV(RAND(),$C$13,0.15)))</f>
        <v/>
      </c>
      <c r="I530" s="32">
        <f>MAX(0,NORMINV(RAND(),$C$14,0.033))</f>
        <v/>
      </c>
      <c r="J530" s="33">
        <f>($C$7*$C$8/365)*F530</f>
        <v/>
      </c>
      <c r="K530" s="33">
        <f>$C$7*G530*$C$12*H530</f>
        <v/>
      </c>
      <c r="L530" s="33">
        <f>$C$7*I530*$C$15</f>
        <v/>
      </c>
      <c r="M530" s="33">
        <f>J530-K530-L530</f>
        <v/>
      </c>
    </row>
    <row r="531">
      <c r="E531" s="20" t="n">
        <v>523</v>
      </c>
      <c r="F531" s="32">
        <f>MAX(0.03,MIN(0.18,NORMINV(RAND(),$C$9,$C$10)))</f>
        <v/>
      </c>
      <c r="G531" s="32">
        <f>MAX(0.02,MIN(0.9,NORMINV(RAND(),$C$11,0.10)))</f>
        <v/>
      </c>
      <c r="H531" s="32">
        <f>MAX(0.02,MIN(0.98,NORMINV(RAND(),$C$13,0.15)))</f>
        <v/>
      </c>
      <c r="I531" s="32">
        <f>MAX(0,NORMINV(RAND(),$C$14,0.033))</f>
        <v/>
      </c>
      <c r="J531" s="33">
        <f>($C$7*$C$8/365)*F531</f>
        <v/>
      </c>
      <c r="K531" s="33">
        <f>$C$7*G531*$C$12*H531</f>
        <v/>
      </c>
      <c r="L531" s="33">
        <f>$C$7*I531*$C$15</f>
        <v/>
      </c>
      <c r="M531" s="33">
        <f>J531-K531-L531</f>
        <v/>
      </c>
    </row>
    <row r="532">
      <c r="E532" s="20" t="n">
        <v>524</v>
      </c>
      <c r="F532" s="32">
        <f>MAX(0.03,MIN(0.18,NORMINV(RAND(),$C$9,$C$10)))</f>
        <v/>
      </c>
      <c r="G532" s="32">
        <f>MAX(0.02,MIN(0.9,NORMINV(RAND(),$C$11,0.10)))</f>
        <v/>
      </c>
      <c r="H532" s="32">
        <f>MAX(0.02,MIN(0.98,NORMINV(RAND(),$C$13,0.15)))</f>
        <v/>
      </c>
      <c r="I532" s="32">
        <f>MAX(0,NORMINV(RAND(),$C$14,0.033))</f>
        <v/>
      </c>
      <c r="J532" s="33">
        <f>($C$7*$C$8/365)*F532</f>
        <v/>
      </c>
      <c r="K532" s="33">
        <f>$C$7*G532*$C$12*H532</f>
        <v/>
      </c>
      <c r="L532" s="33">
        <f>$C$7*I532*$C$15</f>
        <v/>
      </c>
      <c r="M532" s="33">
        <f>J532-K532-L532</f>
        <v/>
      </c>
    </row>
    <row r="533">
      <c r="E533" s="20" t="n">
        <v>525</v>
      </c>
      <c r="F533" s="32">
        <f>MAX(0.03,MIN(0.18,NORMINV(RAND(),$C$9,$C$10)))</f>
        <v/>
      </c>
      <c r="G533" s="32">
        <f>MAX(0.02,MIN(0.9,NORMINV(RAND(),$C$11,0.10)))</f>
        <v/>
      </c>
      <c r="H533" s="32">
        <f>MAX(0.02,MIN(0.98,NORMINV(RAND(),$C$13,0.15)))</f>
        <v/>
      </c>
      <c r="I533" s="32">
        <f>MAX(0,NORMINV(RAND(),$C$14,0.033))</f>
        <v/>
      </c>
      <c r="J533" s="33">
        <f>($C$7*$C$8/365)*F533</f>
        <v/>
      </c>
      <c r="K533" s="33">
        <f>$C$7*G533*$C$12*H533</f>
        <v/>
      </c>
      <c r="L533" s="33">
        <f>$C$7*I533*$C$15</f>
        <v/>
      </c>
      <c r="M533" s="33">
        <f>J533-K533-L533</f>
        <v/>
      </c>
    </row>
    <row r="534">
      <c r="E534" s="20" t="n">
        <v>526</v>
      </c>
      <c r="F534" s="32">
        <f>MAX(0.03,MIN(0.18,NORMINV(RAND(),$C$9,$C$10)))</f>
        <v/>
      </c>
      <c r="G534" s="32">
        <f>MAX(0.02,MIN(0.9,NORMINV(RAND(),$C$11,0.10)))</f>
        <v/>
      </c>
      <c r="H534" s="32">
        <f>MAX(0.02,MIN(0.98,NORMINV(RAND(),$C$13,0.15)))</f>
        <v/>
      </c>
      <c r="I534" s="32">
        <f>MAX(0,NORMINV(RAND(),$C$14,0.033))</f>
        <v/>
      </c>
      <c r="J534" s="33">
        <f>($C$7*$C$8/365)*F534</f>
        <v/>
      </c>
      <c r="K534" s="33">
        <f>$C$7*G534*$C$12*H534</f>
        <v/>
      </c>
      <c r="L534" s="33">
        <f>$C$7*I534*$C$15</f>
        <v/>
      </c>
      <c r="M534" s="33">
        <f>J534-K534-L534</f>
        <v/>
      </c>
    </row>
    <row r="535">
      <c r="E535" s="20" t="n">
        <v>527</v>
      </c>
      <c r="F535" s="32">
        <f>MAX(0.03,MIN(0.18,NORMINV(RAND(),$C$9,$C$10)))</f>
        <v/>
      </c>
      <c r="G535" s="32">
        <f>MAX(0.02,MIN(0.9,NORMINV(RAND(),$C$11,0.10)))</f>
        <v/>
      </c>
      <c r="H535" s="32">
        <f>MAX(0.02,MIN(0.98,NORMINV(RAND(),$C$13,0.15)))</f>
        <v/>
      </c>
      <c r="I535" s="32">
        <f>MAX(0,NORMINV(RAND(),$C$14,0.033))</f>
        <v/>
      </c>
      <c r="J535" s="33">
        <f>($C$7*$C$8/365)*F535</f>
        <v/>
      </c>
      <c r="K535" s="33">
        <f>$C$7*G535*$C$12*H535</f>
        <v/>
      </c>
      <c r="L535" s="33">
        <f>$C$7*I535*$C$15</f>
        <v/>
      </c>
      <c r="M535" s="33">
        <f>J535-K535-L535</f>
        <v/>
      </c>
    </row>
    <row r="536">
      <c r="E536" s="20" t="n">
        <v>528</v>
      </c>
      <c r="F536" s="32">
        <f>MAX(0.03,MIN(0.18,NORMINV(RAND(),$C$9,$C$10)))</f>
        <v/>
      </c>
      <c r="G536" s="32">
        <f>MAX(0.02,MIN(0.9,NORMINV(RAND(),$C$11,0.10)))</f>
        <v/>
      </c>
      <c r="H536" s="32">
        <f>MAX(0.02,MIN(0.98,NORMINV(RAND(),$C$13,0.15)))</f>
        <v/>
      </c>
      <c r="I536" s="32">
        <f>MAX(0,NORMINV(RAND(),$C$14,0.033))</f>
        <v/>
      </c>
      <c r="J536" s="33">
        <f>($C$7*$C$8/365)*F536</f>
        <v/>
      </c>
      <c r="K536" s="33">
        <f>$C$7*G536*$C$12*H536</f>
        <v/>
      </c>
      <c r="L536" s="33">
        <f>$C$7*I536*$C$15</f>
        <v/>
      </c>
      <c r="M536" s="33">
        <f>J536-K536-L536</f>
        <v/>
      </c>
    </row>
    <row r="537">
      <c r="E537" s="20" t="n">
        <v>529</v>
      </c>
      <c r="F537" s="32">
        <f>MAX(0.03,MIN(0.18,NORMINV(RAND(),$C$9,$C$10)))</f>
        <v/>
      </c>
      <c r="G537" s="32">
        <f>MAX(0.02,MIN(0.9,NORMINV(RAND(),$C$11,0.10)))</f>
        <v/>
      </c>
      <c r="H537" s="32">
        <f>MAX(0.02,MIN(0.98,NORMINV(RAND(),$C$13,0.15)))</f>
        <v/>
      </c>
      <c r="I537" s="32">
        <f>MAX(0,NORMINV(RAND(),$C$14,0.033))</f>
        <v/>
      </c>
      <c r="J537" s="33">
        <f>($C$7*$C$8/365)*F537</f>
        <v/>
      </c>
      <c r="K537" s="33">
        <f>$C$7*G537*$C$12*H537</f>
        <v/>
      </c>
      <c r="L537" s="33">
        <f>$C$7*I537*$C$15</f>
        <v/>
      </c>
      <c r="M537" s="33">
        <f>J537-K537-L537</f>
        <v/>
      </c>
    </row>
    <row r="538">
      <c r="E538" s="20" t="n">
        <v>530</v>
      </c>
      <c r="F538" s="32">
        <f>MAX(0.03,MIN(0.18,NORMINV(RAND(),$C$9,$C$10)))</f>
        <v/>
      </c>
      <c r="G538" s="32">
        <f>MAX(0.02,MIN(0.9,NORMINV(RAND(),$C$11,0.10)))</f>
        <v/>
      </c>
      <c r="H538" s="32">
        <f>MAX(0.02,MIN(0.98,NORMINV(RAND(),$C$13,0.15)))</f>
        <v/>
      </c>
      <c r="I538" s="32">
        <f>MAX(0,NORMINV(RAND(),$C$14,0.033))</f>
        <v/>
      </c>
      <c r="J538" s="33">
        <f>($C$7*$C$8/365)*F538</f>
        <v/>
      </c>
      <c r="K538" s="33">
        <f>$C$7*G538*$C$12*H538</f>
        <v/>
      </c>
      <c r="L538" s="33">
        <f>$C$7*I538*$C$15</f>
        <v/>
      </c>
      <c r="M538" s="33">
        <f>J538-K538-L538</f>
        <v/>
      </c>
    </row>
    <row r="539">
      <c r="E539" s="20" t="n">
        <v>531</v>
      </c>
      <c r="F539" s="32">
        <f>MAX(0.03,MIN(0.18,NORMINV(RAND(),$C$9,$C$10)))</f>
        <v/>
      </c>
      <c r="G539" s="32">
        <f>MAX(0.02,MIN(0.9,NORMINV(RAND(),$C$11,0.10)))</f>
        <v/>
      </c>
      <c r="H539" s="32">
        <f>MAX(0.02,MIN(0.98,NORMINV(RAND(),$C$13,0.15)))</f>
        <v/>
      </c>
      <c r="I539" s="32">
        <f>MAX(0,NORMINV(RAND(),$C$14,0.033))</f>
        <v/>
      </c>
      <c r="J539" s="33">
        <f>($C$7*$C$8/365)*F539</f>
        <v/>
      </c>
      <c r="K539" s="33">
        <f>$C$7*G539*$C$12*H539</f>
        <v/>
      </c>
      <c r="L539" s="33">
        <f>$C$7*I539*$C$15</f>
        <v/>
      </c>
      <c r="M539" s="33">
        <f>J539-K539-L539</f>
        <v/>
      </c>
    </row>
    <row r="540">
      <c r="E540" s="20" t="n">
        <v>532</v>
      </c>
      <c r="F540" s="32">
        <f>MAX(0.03,MIN(0.18,NORMINV(RAND(),$C$9,$C$10)))</f>
        <v/>
      </c>
      <c r="G540" s="32">
        <f>MAX(0.02,MIN(0.9,NORMINV(RAND(),$C$11,0.10)))</f>
        <v/>
      </c>
      <c r="H540" s="32">
        <f>MAX(0.02,MIN(0.98,NORMINV(RAND(),$C$13,0.15)))</f>
        <v/>
      </c>
      <c r="I540" s="32">
        <f>MAX(0,NORMINV(RAND(),$C$14,0.033))</f>
        <v/>
      </c>
      <c r="J540" s="33">
        <f>($C$7*$C$8/365)*F540</f>
        <v/>
      </c>
      <c r="K540" s="33">
        <f>$C$7*G540*$C$12*H540</f>
        <v/>
      </c>
      <c r="L540" s="33">
        <f>$C$7*I540*$C$15</f>
        <v/>
      </c>
      <c r="M540" s="33">
        <f>J540-K540-L540</f>
        <v/>
      </c>
    </row>
    <row r="541">
      <c r="E541" s="20" t="n">
        <v>533</v>
      </c>
      <c r="F541" s="32">
        <f>MAX(0.03,MIN(0.18,NORMINV(RAND(),$C$9,$C$10)))</f>
        <v/>
      </c>
      <c r="G541" s="32">
        <f>MAX(0.02,MIN(0.9,NORMINV(RAND(),$C$11,0.10)))</f>
        <v/>
      </c>
      <c r="H541" s="32">
        <f>MAX(0.02,MIN(0.98,NORMINV(RAND(),$C$13,0.15)))</f>
        <v/>
      </c>
      <c r="I541" s="32">
        <f>MAX(0,NORMINV(RAND(),$C$14,0.033))</f>
        <v/>
      </c>
      <c r="J541" s="33">
        <f>($C$7*$C$8/365)*F541</f>
        <v/>
      </c>
      <c r="K541" s="33">
        <f>$C$7*G541*$C$12*H541</f>
        <v/>
      </c>
      <c r="L541" s="33">
        <f>$C$7*I541*$C$15</f>
        <v/>
      </c>
      <c r="M541" s="33">
        <f>J541-K541-L541</f>
        <v/>
      </c>
    </row>
    <row r="542">
      <c r="E542" s="20" t="n">
        <v>534</v>
      </c>
      <c r="F542" s="32">
        <f>MAX(0.03,MIN(0.18,NORMINV(RAND(),$C$9,$C$10)))</f>
        <v/>
      </c>
      <c r="G542" s="32">
        <f>MAX(0.02,MIN(0.9,NORMINV(RAND(),$C$11,0.10)))</f>
        <v/>
      </c>
      <c r="H542" s="32">
        <f>MAX(0.02,MIN(0.98,NORMINV(RAND(),$C$13,0.15)))</f>
        <v/>
      </c>
      <c r="I542" s="32">
        <f>MAX(0,NORMINV(RAND(),$C$14,0.033))</f>
        <v/>
      </c>
      <c r="J542" s="33">
        <f>($C$7*$C$8/365)*F542</f>
        <v/>
      </c>
      <c r="K542" s="33">
        <f>$C$7*G542*$C$12*H542</f>
        <v/>
      </c>
      <c r="L542" s="33">
        <f>$C$7*I542*$C$15</f>
        <v/>
      </c>
      <c r="M542" s="33">
        <f>J542-K542-L542</f>
        <v/>
      </c>
    </row>
    <row r="543">
      <c r="E543" s="20" t="n">
        <v>535</v>
      </c>
      <c r="F543" s="32">
        <f>MAX(0.03,MIN(0.18,NORMINV(RAND(),$C$9,$C$10)))</f>
        <v/>
      </c>
      <c r="G543" s="32">
        <f>MAX(0.02,MIN(0.9,NORMINV(RAND(),$C$11,0.10)))</f>
        <v/>
      </c>
      <c r="H543" s="32">
        <f>MAX(0.02,MIN(0.98,NORMINV(RAND(),$C$13,0.15)))</f>
        <v/>
      </c>
      <c r="I543" s="32">
        <f>MAX(0,NORMINV(RAND(),$C$14,0.033))</f>
        <v/>
      </c>
      <c r="J543" s="33">
        <f>($C$7*$C$8/365)*F543</f>
        <v/>
      </c>
      <c r="K543" s="33">
        <f>$C$7*G543*$C$12*H543</f>
        <v/>
      </c>
      <c r="L543" s="33">
        <f>$C$7*I543*$C$15</f>
        <v/>
      </c>
      <c r="M543" s="33">
        <f>J543-K543-L543</f>
        <v/>
      </c>
    </row>
    <row r="544">
      <c r="E544" s="20" t="n">
        <v>536</v>
      </c>
      <c r="F544" s="32">
        <f>MAX(0.03,MIN(0.18,NORMINV(RAND(),$C$9,$C$10)))</f>
        <v/>
      </c>
      <c r="G544" s="32">
        <f>MAX(0.02,MIN(0.9,NORMINV(RAND(),$C$11,0.10)))</f>
        <v/>
      </c>
      <c r="H544" s="32">
        <f>MAX(0.02,MIN(0.98,NORMINV(RAND(),$C$13,0.15)))</f>
        <v/>
      </c>
      <c r="I544" s="32">
        <f>MAX(0,NORMINV(RAND(),$C$14,0.033))</f>
        <v/>
      </c>
      <c r="J544" s="33">
        <f>($C$7*$C$8/365)*F544</f>
        <v/>
      </c>
      <c r="K544" s="33">
        <f>$C$7*G544*$C$12*H544</f>
        <v/>
      </c>
      <c r="L544" s="33">
        <f>$C$7*I544*$C$15</f>
        <v/>
      </c>
      <c r="M544" s="33">
        <f>J544-K544-L544</f>
        <v/>
      </c>
    </row>
    <row r="545">
      <c r="E545" s="20" t="n">
        <v>537</v>
      </c>
      <c r="F545" s="32">
        <f>MAX(0.03,MIN(0.18,NORMINV(RAND(),$C$9,$C$10)))</f>
        <v/>
      </c>
      <c r="G545" s="32">
        <f>MAX(0.02,MIN(0.9,NORMINV(RAND(),$C$11,0.10)))</f>
        <v/>
      </c>
      <c r="H545" s="32">
        <f>MAX(0.02,MIN(0.98,NORMINV(RAND(),$C$13,0.15)))</f>
        <v/>
      </c>
      <c r="I545" s="32">
        <f>MAX(0,NORMINV(RAND(),$C$14,0.033))</f>
        <v/>
      </c>
      <c r="J545" s="33">
        <f>($C$7*$C$8/365)*F545</f>
        <v/>
      </c>
      <c r="K545" s="33">
        <f>$C$7*G545*$C$12*H545</f>
        <v/>
      </c>
      <c r="L545" s="33">
        <f>$C$7*I545*$C$15</f>
        <v/>
      </c>
      <c r="M545" s="33">
        <f>J545-K545-L545</f>
        <v/>
      </c>
    </row>
    <row r="546">
      <c r="E546" s="20" t="n">
        <v>538</v>
      </c>
      <c r="F546" s="32">
        <f>MAX(0.03,MIN(0.18,NORMINV(RAND(),$C$9,$C$10)))</f>
        <v/>
      </c>
      <c r="G546" s="32">
        <f>MAX(0.02,MIN(0.9,NORMINV(RAND(),$C$11,0.10)))</f>
        <v/>
      </c>
      <c r="H546" s="32">
        <f>MAX(0.02,MIN(0.98,NORMINV(RAND(),$C$13,0.15)))</f>
        <v/>
      </c>
      <c r="I546" s="32">
        <f>MAX(0,NORMINV(RAND(),$C$14,0.033))</f>
        <v/>
      </c>
      <c r="J546" s="33">
        <f>($C$7*$C$8/365)*F546</f>
        <v/>
      </c>
      <c r="K546" s="33">
        <f>$C$7*G546*$C$12*H546</f>
        <v/>
      </c>
      <c r="L546" s="33">
        <f>$C$7*I546*$C$15</f>
        <v/>
      </c>
      <c r="M546" s="33">
        <f>J546-K546-L546</f>
        <v/>
      </c>
    </row>
    <row r="547">
      <c r="E547" s="20" t="n">
        <v>539</v>
      </c>
      <c r="F547" s="32">
        <f>MAX(0.03,MIN(0.18,NORMINV(RAND(),$C$9,$C$10)))</f>
        <v/>
      </c>
      <c r="G547" s="32">
        <f>MAX(0.02,MIN(0.9,NORMINV(RAND(),$C$11,0.10)))</f>
        <v/>
      </c>
      <c r="H547" s="32">
        <f>MAX(0.02,MIN(0.98,NORMINV(RAND(),$C$13,0.15)))</f>
        <v/>
      </c>
      <c r="I547" s="32">
        <f>MAX(0,NORMINV(RAND(),$C$14,0.033))</f>
        <v/>
      </c>
      <c r="J547" s="33">
        <f>($C$7*$C$8/365)*F547</f>
        <v/>
      </c>
      <c r="K547" s="33">
        <f>$C$7*G547*$C$12*H547</f>
        <v/>
      </c>
      <c r="L547" s="33">
        <f>$C$7*I547*$C$15</f>
        <v/>
      </c>
      <c r="M547" s="33">
        <f>J547-K547-L547</f>
        <v/>
      </c>
    </row>
    <row r="548">
      <c r="E548" s="20" t="n">
        <v>540</v>
      </c>
      <c r="F548" s="32">
        <f>MAX(0.03,MIN(0.18,NORMINV(RAND(),$C$9,$C$10)))</f>
        <v/>
      </c>
      <c r="G548" s="32">
        <f>MAX(0.02,MIN(0.9,NORMINV(RAND(),$C$11,0.10)))</f>
        <v/>
      </c>
      <c r="H548" s="32">
        <f>MAX(0.02,MIN(0.98,NORMINV(RAND(),$C$13,0.15)))</f>
        <v/>
      </c>
      <c r="I548" s="32">
        <f>MAX(0,NORMINV(RAND(),$C$14,0.033))</f>
        <v/>
      </c>
      <c r="J548" s="33">
        <f>($C$7*$C$8/365)*F548</f>
        <v/>
      </c>
      <c r="K548" s="33">
        <f>$C$7*G548*$C$12*H548</f>
        <v/>
      </c>
      <c r="L548" s="33">
        <f>$C$7*I548*$C$15</f>
        <v/>
      </c>
      <c r="M548" s="33">
        <f>J548-K548-L548</f>
        <v/>
      </c>
    </row>
    <row r="549">
      <c r="E549" s="20" t="n">
        <v>541</v>
      </c>
      <c r="F549" s="32">
        <f>MAX(0.03,MIN(0.18,NORMINV(RAND(),$C$9,$C$10)))</f>
        <v/>
      </c>
      <c r="G549" s="32">
        <f>MAX(0.02,MIN(0.9,NORMINV(RAND(),$C$11,0.10)))</f>
        <v/>
      </c>
      <c r="H549" s="32">
        <f>MAX(0.02,MIN(0.98,NORMINV(RAND(),$C$13,0.15)))</f>
        <v/>
      </c>
      <c r="I549" s="32">
        <f>MAX(0,NORMINV(RAND(),$C$14,0.033))</f>
        <v/>
      </c>
      <c r="J549" s="33">
        <f>($C$7*$C$8/365)*F549</f>
        <v/>
      </c>
      <c r="K549" s="33">
        <f>$C$7*G549*$C$12*H549</f>
        <v/>
      </c>
      <c r="L549" s="33">
        <f>$C$7*I549*$C$15</f>
        <v/>
      </c>
      <c r="M549" s="33">
        <f>J549-K549-L549</f>
        <v/>
      </c>
    </row>
    <row r="550">
      <c r="E550" s="20" t="n">
        <v>542</v>
      </c>
      <c r="F550" s="32">
        <f>MAX(0.03,MIN(0.18,NORMINV(RAND(),$C$9,$C$10)))</f>
        <v/>
      </c>
      <c r="G550" s="32">
        <f>MAX(0.02,MIN(0.9,NORMINV(RAND(),$C$11,0.10)))</f>
        <v/>
      </c>
      <c r="H550" s="32">
        <f>MAX(0.02,MIN(0.98,NORMINV(RAND(),$C$13,0.15)))</f>
        <v/>
      </c>
      <c r="I550" s="32">
        <f>MAX(0,NORMINV(RAND(),$C$14,0.033))</f>
        <v/>
      </c>
      <c r="J550" s="33">
        <f>($C$7*$C$8/365)*F550</f>
        <v/>
      </c>
      <c r="K550" s="33">
        <f>$C$7*G550*$C$12*H550</f>
        <v/>
      </c>
      <c r="L550" s="33">
        <f>$C$7*I550*$C$15</f>
        <v/>
      </c>
      <c r="M550" s="33">
        <f>J550-K550-L550</f>
        <v/>
      </c>
    </row>
    <row r="551">
      <c r="E551" s="20" t="n">
        <v>543</v>
      </c>
      <c r="F551" s="32">
        <f>MAX(0.03,MIN(0.18,NORMINV(RAND(),$C$9,$C$10)))</f>
        <v/>
      </c>
      <c r="G551" s="32">
        <f>MAX(0.02,MIN(0.9,NORMINV(RAND(),$C$11,0.10)))</f>
        <v/>
      </c>
      <c r="H551" s="32">
        <f>MAX(0.02,MIN(0.98,NORMINV(RAND(),$C$13,0.15)))</f>
        <v/>
      </c>
      <c r="I551" s="32">
        <f>MAX(0,NORMINV(RAND(),$C$14,0.033))</f>
        <v/>
      </c>
      <c r="J551" s="33">
        <f>($C$7*$C$8/365)*F551</f>
        <v/>
      </c>
      <c r="K551" s="33">
        <f>$C$7*G551*$C$12*H551</f>
        <v/>
      </c>
      <c r="L551" s="33">
        <f>$C$7*I551*$C$15</f>
        <v/>
      </c>
      <c r="M551" s="33">
        <f>J551-K551-L551</f>
        <v/>
      </c>
    </row>
    <row r="552">
      <c r="E552" s="20" t="n">
        <v>544</v>
      </c>
      <c r="F552" s="32">
        <f>MAX(0.03,MIN(0.18,NORMINV(RAND(),$C$9,$C$10)))</f>
        <v/>
      </c>
      <c r="G552" s="32">
        <f>MAX(0.02,MIN(0.9,NORMINV(RAND(),$C$11,0.10)))</f>
        <v/>
      </c>
      <c r="H552" s="32">
        <f>MAX(0.02,MIN(0.98,NORMINV(RAND(),$C$13,0.15)))</f>
        <v/>
      </c>
      <c r="I552" s="32">
        <f>MAX(0,NORMINV(RAND(),$C$14,0.033))</f>
        <v/>
      </c>
      <c r="J552" s="33">
        <f>($C$7*$C$8/365)*F552</f>
        <v/>
      </c>
      <c r="K552" s="33">
        <f>$C$7*G552*$C$12*H552</f>
        <v/>
      </c>
      <c r="L552" s="33">
        <f>$C$7*I552*$C$15</f>
        <v/>
      </c>
      <c r="M552" s="33">
        <f>J552-K552-L552</f>
        <v/>
      </c>
    </row>
    <row r="553">
      <c r="E553" s="20" t="n">
        <v>545</v>
      </c>
      <c r="F553" s="32">
        <f>MAX(0.03,MIN(0.18,NORMINV(RAND(),$C$9,$C$10)))</f>
        <v/>
      </c>
      <c r="G553" s="32">
        <f>MAX(0.02,MIN(0.9,NORMINV(RAND(),$C$11,0.10)))</f>
        <v/>
      </c>
      <c r="H553" s="32">
        <f>MAX(0.02,MIN(0.98,NORMINV(RAND(),$C$13,0.15)))</f>
        <v/>
      </c>
      <c r="I553" s="32">
        <f>MAX(0,NORMINV(RAND(),$C$14,0.033))</f>
        <v/>
      </c>
      <c r="J553" s="33">
        <f>($C$7*$C$8/365)*F553</f>
        <v/>
      </c>
      <c r="K553" s="33">
        <f>$C$7*G553*$C$12*H553</f>
        <v/>
      </c>
      <c r="L553" s="33">
        <f>$C$7*I553*$C$15</f>
        <v/>
      </c>
      <c r="M553" s="33">
        <f>J553-K553-L553</f>
        <v/>
      </c>
    </row>
    <row r="554">
      <c r="E554" s="20" t="n">
        <v>546</v>
      </c>
      <c r="F554" s="32">
        <f>MAX(0.03,MIN(0.18,NORMINV(RAND(),$C$9,$C$10)))</f>
        <v/>
      </c>
      <c r="G554" s="32">
        <f>MAX(0.02,MIN(0.9,NORMINV(RAND(),$C$11,0.10)))</f>
        <v/>
      </c>
      <c r="H554" s="32">
        <f>MAX(0.02,MIN(0.98,NORMINV(RAND(),$C$13,0.15)))</f>
        <v/>
      </c>
      <c r="I554" s="32">
        <f>MAX(0,NORMINV(RAND(),$C$14,0.033))</f>
        <v/>
      </c>
      <c r="J554" s="33">
        <f>($C$7*$C$8/365)*F554</f>
        <v/>
      </c>
      <c r="K554" s="33">
        <f>$C$7*G554*$C$12*H554</f>
        <v/>
      </c>
      <c r="L554" s="33">
        <f>$C$7*I554*$C$15</f>
        <v/>
      </c>
      <c r="M554" s="33">
        <f>J554-K554-L554</f>
        <v/>
      </c>
    </row>
    <row r="555">
      <c r="E555" s="20" t="n">
        <v>547</v>
      </c>
      <c r="F555" s="32">
        <f>MAX(0.03,MIN(0.18,NORMINV(RAND(),$C$9,$C$10)))</f>
        <v/>
      </c>
      <c r="G555" s="32">
        <f>MAX(0.02,MIN(0.9,NORMINV(RAND(),$C$11,0.10)))</f>
        <v/>
      </c>
      <c r="H555" s="32">
        <f>MAX(0.02,MIN(0.98,NORMINV(RAND(),$C$13,0.15)))</f>
        <v/>
      </c>
      <c r="I555" s="32">
        <f>MAX(0,NORMINV(RAND(),$C$14,0.033))</f>
        <v/>
      </c>
      <c r="J555" s="33">
        <f>($C$7*$C$8/365)*F555</f>
        <v/>
      </c>
      <c r="K555" s="33">
        <f>$C$7*G555*$C$12*H555</f>
        <v/>
      </c>
      <c r="L555" s="33">
        <f>$C$7*I555*$C$15</f>
        <v/>
      </c>
      <c r="M555" s="33">
        <f>J555-K555-L555</f>
        <v/>
      </c>
    </row>
    <row r="556">
      <c r="E556" s="20" t="n">
        <v>548</v>
      </c>
      <c r="F556" s="32">
        <f>MAX(0.03,MIN(0.18,NORMINV(RAND(),$C$9,$C$10)))</f>
        <v/>
      </c>
      <c r="G556" s="32">
        <f>MAX(0.02,MIN(0.9,NORMINV(RAND(),$C$11,0.10)))</f>
        <v/>
      </c>
      <c r="H556" s="32">
        <f>MAX(0.02,MIN(0.98,NORMINV(RAND(),$C$13,0.15)))</f>
        <v/>
      </c>
      <c r="I556" s="32">
        <f>MAX(0,NORMINV(RAND(),$C$14,0.033))</f>
        <v/>
      </c>
      <c r="J556" s="33">
        <f>($C$7*$C$8/365)*F556</f>
        <v/>
      </c>
      <c r="K556" s="33">
        <f>$C$7*G556*$C$12*H556</f>
        <v/>
      </c>
      <c r="L556" s="33">
        <f>$C$7*I556*$C$15</f>
        <v/>
      </c>
      <c r="M556" s="33">
        <f>J556-K556-L556</f>
        <v/>
      </c>
    </row>
    <row r="557">
      <c r="E557" s="20" t="n">
        <v>549</v>
      </c>
      <c r="F557" s="32">
        <f>MAX(0.03,MIN(0.18,NORMINV(RAND(),$C$9,$C$10)))</f>
        <v/>
      </c>
      <c r="G557" s="32">
        <f>MAX(0.02,MIN(0.9,NORMINV(RAND(),$C$11,0.10)))</f>
        <v/>
      </c>
      <c r="H557" s="32">
        <f>MAX(0.02,MIN(0.98,NORMINV(RAND(),$C$13,0.15)))</f>
        <v/>
      </c>
      <c r="I557" s="32">
        <f>MAX(0,NORMINV(RAND(),$C$14,0.033))</f>
        <v/>
      </c>
      <c r="J557" s="33">
        <f>($C$7*$C$8/365)*F557</f>
        <v/>
      </c>
      <c r="K557" s="33">
        <f>$C$7*G557*$C$12*H557</f>
        <v/>
      </c>
      <c r="L557" s="33">
        <f>$C$7*I557*$C$15</f>
        <v/>
      </c>
      <c r="M557" s="33">
        <f>J557-K557-L557</f>
        <v/>
      </c>
    </row>
    <row r="558">
      <c r="E558" s="20" t="n">
        <v>550</v>
      </c>
      <c r="F558" s="32">
        <f>MAX(0.03,MIN(0.18,NORMINV(RAND(),$C$9,$C$10)))</f>
        <v/>
      </c>
      <c r="G558" s="32">
        <f>MAX(0.02,MIN(0.9,NORMINV(RAND(),$C$11,0.10)))</f>
        <v/>
      </c>
      <c r="H558" s="32">
        <f>MAX(0.02,MIN(0.98,NORMINV(RAND(),$C$13,0.15)))</f>
        <v/>
      </c>
      <c r="I558" s="32">
        <f>MAX(0,NORMINV(RAND(),$C$14,0.033))</f>
        <v/>
      </c>
      <c r="J558" s="33">
        <f>($C$7*$C$8/365)*F558</f>
        <v/>
      </c>
      <c r="K558" s="33">
        <f>$C$7*G558*$C$12*H558</f>
        <v/>
      </c>
      <c r="L558" s="33">
        <f>$C$7*I558*$C$15</f>
        <v/>
      </c>
      <c r="M558" s="33">
        <f>J558-K558-L558</f>
        <v/>
      </c>
    </row>
    <row r="559">
      <c r="E559" s="20" t="n">
        <v>551</v>
      </c>
      <c r="F559" s="32">
        <f>MAX(0.03,MIN(0.18,NORMINV(RAND(),$C$9,$C$10)))</f>
        <v/>
      </c>
      <c r="G559" s="32">
        <f>MAX(0.02,MIN(0.9,NORMINV(RAND(),$C$11,0.10)))</f>
        <v/>
      </c>
      <c r="H559" s="32">
        <f>MAX(0.02,MIN(0.98,NORMINV(RAND(),$C$13,0.15)))</f>
        <v/>
      </c>
      <c r="I559" s="32">
        <f>MAX(0,NORMINV(RAND(),$C$14,0.033))</f>
        <v/>
      </c>
      <c r="J559" s="33">
        <f>($C$7*$C$8/365)*F559</f>
        <v/>
      </c>
      <c r="K559" s="33">
        <f>$C$7*G559*$C$12*H559</f>
        <v/>
      </c>
      <c r="L559" s="33">
        <f>$C$7*I559*$C$15</f>
        <v/>
      </c>
      <c r="M559" s="33">
        <f>J559-K559-L559</f>
        <v/>
      </c>
    </row>
    <row r="560">
      <c r="E560" s="20" t="n">
        <v>552</v>
      </c>
      <c r="F560" s="32">
        <f>MAX(0.03,MIN(0.18,NORMINV(RAND(),$C$9,$C$10)))</f>
        <v/>
      </c>
      <c r="G560" s="32">
        <f>MAX(0.02,MIN(0.9,NORMINV(RAND(),$C$11,0.10)))</f>
        <v/>
      </c>
      <c r="H560" s="32">
        <f>MAX(0.02,MIN(0.98,NORMINV(RAND(),$C$13,0.15)))</f>
        <v/>
      </c>
      <c r="I560" s="32">
        <f>MAX(0,NORMINV(RAND(),$C$14,0.033))</f>
        <v/>
      </c>
      <c r="J560" s="33">
        <f>($C$7*$C$8/365)*F560</f>
        <v/>
      </c>
      <c r="K560" s="33">
        <f>$C$7*G560*$C$12*H560</f>
        <v/>
      </c>
      <c r="L560" s="33">
        <f>$C$7*I560*$C$15</f>
        <v/>
      </c>
      <c r="M560" s="33">
        <f>J560-K560-L560</f>
        <v/>
      </c>
    </row>
    <row r="561">
      <c r="E561" s="20" t="n">
        <v>553</v>
      </c>
      <c r="F561" s="32">
        <f>MAX(0.03,MIN(0.18,NORMINV(RAND(),$C$9,$C$10)))</f>
        <v/>
      </c>
      <c r="G561" s="32">
        <f>MAX(0.02,MIN(0.9,NORMINV(RAND(),$C$11,0.10)))</f>
        <v/>
      </c>
      <c r="H561" s="32">
        <f>MAX(0.02,MIN(0.98,NORMINV(RAND(),$C$13,0.15)))</f>
        <v/>
      </c>
      <c r="I561" s="32">
        <f>MAX(0,NORMINV(RAND(),$C$14,0.033))</f>
        <v/>
      </c>
      <c r="J561" s="33">
        <f>($C$7*$C$8/365)*F561</f>
        <v/>
      </c>
      <c r="K561" s="33">
        <f>$C$7*G561*$C$12*H561</f>
        <v/>
      </c>
      <c r="L561" s="33">
        <f>$C$7*I561*$C$15</f>
        <v/>
      </c>
      <c r="M561" s="33">
        <f>J561-K561-L561</f>
        <v/>
      </c>
    </row>
    <row r="562">
      <c r="E562" s="20" t="n">
        <v>554</v>
      </c>
      <c r="F562" s="32">
        <f>MAX(0.03,MIN(0.18,NORMINV(RAND(),$C$9,$C$10)))</f>
        <v/>
      </c>
      <c r="G562" s="32">
        <f>MAX(0.02,MIN(0.9,NORMINV(RAND(),$C$11,0.10)))</f>
        <v/>
      </c>
      <c r="H562" s="32">
        <f>MAX(0.02,MIN(0.98,NORMINV(RAND(),$C$13,0.15)))</f>
        <v/>
      </c>
      <c r="I562" s="32">
        <f>MAX(0,NORMINV(RAND(),$C$14,0.033))</f>
        <v/>
      </c>
      <c r="J562" s="33">
        <f>($C$7*$C$8/365)*F562</f>
        <v/>
      </c>
      <c r="K562" s="33">
        <f>$C$7*G562*$C$12*H562</f>
        <v/>
      </c>
      <c r="L562" s="33">
        <f>$C$7*I562*$C$15</f>
        <v/>
      </c>
      <c r="M562" s="33">
        <f>J562-K562-L562</f>
        <v/>
      </c>
    </row>
    <row r="563">
      <c r="E563" s="20" t="n">
        <v>555</v>
      </c>
      <c r="F563" s="32">
        <f>MAX(0.03,MIN(0.18,NORMINV(RAND(),$C$9,$C$10)))</f>
        <v/>
      </c>
      <c r="G563" s="32">
        <f>MAX(0.02,MIN(0.9,NORMINV(RAND(),$C$11,0.10)))</f>
        <v/>
      </c>
      <c r="H563" s="32">
        <f>MAX(0.02,MIN(0.98,NORMINV(RAND(),$C$13,0.15)))</f>
        <v/>
      </c>
      <c r="I563" s="32">
        <f>MAX(0,NORMINV(RAND(),$C$14,0.033))</f>
        <v/>
      </c>
      <c r="J563" s="33">
        <f>($C$7*$C$8/365)*F563</f>
        <v/>
      </c>
      <c r="K563" s="33">
        <f>$C$7*G563*$C$12*H563</f>
        <v/>
      </c>
      <c r="L563" s="33">
        <f>$C$7*I563*$C$15</f>
        <v/>
      </c>
      <c r="M563" s="33">
        <f>J563-K563-L563</f>
        <v/>
      </c>
    </row>
    <row r="564">
      <c r="E564" s="20" t="n">
        <v>556</v>
      </c>
      <c r="F564" s="32">
        <f>MAX(0.03,MIN(0.18,NORMINV(RAND(),$C$9,$C$10)))</f>
        <v/>
      </c>
      <c r="G564" s="32">
        <f>MAX(0.02,MIN(0.9,NORMINV(RAND(),$C$11,0.10)))</f>
        <v/>
      </c>
      <c r="H564" s="32">
        <f>MAX(0.02,MIN(0.98,NORMINV(RAND(),$C$13,0.15)))</f>
        <v/>
      </c>
      <c r="I564" s="32">
        <f>MAX(0,NORMINV(RAND(),$C$14,0.033))</f>
        <v/>
      </c>
      <c r="J564" s="33">
        <f>($C$7*$C$8/365)*F564</f>
        <v/>
      </c>
      <c r="K564" s="33">
        <f>$C$7*G564*$C$12*H564</f>
        <v/>
      </c>
      <c r="L564" s="33">
        <f>$C$7*I564*$C$15</f>
        <v/>
      </c>
      <c r="M564" s="33">
        <f>J564-K564-L564</f>
        <v/>
      </c>
    </row>
    <row r="565">
      <c r="E565" s="20" t="n">
        <v>557</v>
      </c>
      <c r="F565" s="32">
        <f>MAX(0.03,MIN(0.18,NORMINV(RAND(),$C$9,$C$10)))</f>
        <v/>
      </c>
      <c r="G565" s="32">
        <f>MAX(0.02,MIN(0.9,NORMINV(RAND(),$C$11,0.10)))</f>
        <v/>
      </c>
      <c r="H565" s="32">
        <f>MAX(0.02,MIN(0.98,NORMINV(RAND(),$C$13,0.15)))</f>
        <v/>
      </c>
      <c r="I565" s="32">
        <f>MAX(0,NORMINV(RAND(),$C$14,0.033))</f>
        <v/>
      </c>
      <c r="J565" s="33">
        <f>($C$7*$C$8/365)*F565</f>
        <v/>
      </c>
      <c r="K565" s="33">
        <f>$C$7*G565*$C$12*H565</f>
        <v/>
      </c>
      <c r="L565" s="33">
        <f>$C$7*I565*$C$15</f>
        <v/>
      </c>
      <c r="M565" s="33">
        <f>J565-K565-L565</f>
        <v/>
      </c>
    </row>
    <row r="566">
      <c r="E566" s="20" t="n">
        <v>558</v>
      </c>
      <c r="F566" s="32">
        <f>MAX(0.03,MIN(0.18,NORMINV(RAND(),$C$9,$C$10)))</f>
        <v/>
      </c>
      <c r="G566" s="32">
        <f>MAX(0.02,MIN(0.9,NORMINV(RAND(),$C$11,0.10)))</f>
        <v/>
      </c>
      <c r="H566" s="32">
        <f>MAX(0.02,MIN(0.98,NORMINV(RAND(),$C$13,0.15)))</f>
        <v/>
      </c>
      <c r="I566" s="32">
        <f>MAX(0,NORMINV(RAND(),$C$14,0.033))</f>
        <v/>
      </c>
      <c r="J566" s="33">
        <f>($C$7*$C$8/365)*F566</f>
        <v/>
      </c>
      <c r="K566" s="33">
        <f>$C$7*G566*$C$12*H566</f>
        <v/>
      </c>
      <c r="L566" s="33">
        <f>$C$7*I566*$C$15</f>
        <v/>
      </c>
      <c r="M566" s="33">
        <f>J566-K566-L566</f>
        <v/>
      </c>
    </row>
    <row r="567">
      <c r="E567" s="20" t="n">
        <v>559</v>
      </c>
      <c r="F567" s="32">
        <f>MAX(0.03,MIN(0.18,NORMINV(RAND(),$C$9,$C$10)))</f>
        <v/>
      </c>
      <c r="G567" s="32">
        <f>MAX(0.02,MIN(0.9,NORMINV(RAND(),$C$11,0.10)))</f>
        <v/>
      </c>
      <c r="H567" s="32">
        <f>MAX(0.02,MIN(0.98,NORMINV(RAND(),$C$13,0.15)))</f>
        <v/>
      </c>
      <c r="I567" s="32">
        <f>MAX(0,NORMINV(RAND(),$C$14,0.033))</f>
        <v/>
      </c>
      <c r="J567" s="33">
        <f>($C$7*$C$8/365)*F567</f>
        <v/>
      </c>
      <c r="K567" s="33">
        <f>$C$7*G567*$C$12*H567</f>
        <v/>
      </c>
      <c r="L567" s="33">
        <f>$C$7*I567*$C$15</f>
        <v/>
      </c>
      <c r="M567" s="33">
        <f>J567-K567-L567</f>
        <v/>
      </c>
    </row>
    <row r="568">
      <c r="E568" s="20" t="n">
        <v>560</v>
      </c>
      <c r="F568" s="32">
        <f>MAX(0.03,MIN(0.18,NORMINV(RAND(),$C$9,$C$10)))</f>
        <v/>
      </c>
      <c r="G568" s="32">
        <f>MAX(0.02,MIN(0.9,NORMINV(RAND(),$C$11,0.10)))</f>
        <v/>
      </c>
      <c r="H568" s="32">
        <f>MAX(0.02,MIN(0.98,NORMINV(RAND(),$C$13,0.15)))</f>
        <v/>
      </c>
      <c r="I568" s="32">
        <f>MAX(0,NORMINV(RAND(),$C$14,0.033))</f>
        <v/>
      </c>
      <c r="J568" s="33">
        <f>($C$7*$C$8/365)*F568</f>
        <v/>
      </c>
      <c r="K568" s="33">
        <f>$C$7*G568*$C$12*H568</f>
        <v/>
      </c>
      <c r="L568" s="33">
        <f>$C$7*I568*$C$15</f>
        <v/>
      </c>
      <c r="M568" s="33">
        <f>J568-K568-L568</f>
        <v/>
      </c>
    </row>
    <row r="569">
      <c r="E569" s="20" t="n">
        <v>561</v>
      </c>
      <c r="F569" s="32">
        <f>MAX(0.03,MIN(0.18,NORMINV(RAND(),$C$9,$C$10)))</f>
        <v/>
      </c>
      <c r="G569" s="32">
        <f>MAX(0.02,MIN(0.9,NORMINV(RAND(),$C$11,0.10)))</f>
        <v/>
      </c>
      <c r="H569" s="32">
        <f>MAX(0.02,MIN(0.98,NORMINV(RAND(),$C$13,0.15)))</f>
        <v/>
      </c>
      <c r="I569" s="32">
        <f>MAX(0,NORMINV(RAND(),$C$14,0.033))</f>
        <v/>
      </c>
      <c r="J569" s="33">
        <f>($C$7*$C$8/365)*F569</f>
        <v/>
      </c>
      <c r="K569" s="33">
        <f>$C$7*G569*$C$12*H569</f>
        <v/>
      </c>
      <c r="L569" s="33">
        <f>$C$7*I569*$C$15</f>
        <v/>
      </c>
      <c r="M569" s="33">
        <f>J569-K569-L569</f>
        <v/>
      </c>
    </row>
    <row r="570">
      <c r="E570" s="20" t="n">
        <v>562</v>
      </c>
      <c r="F570" s="32">
        <f>MAX(0.03,MIN(0.18,NORMINV(RAND(),$C$9,$C$10)))</f>
        <v/>
      </c>
      <c r="G570" s="32">
        <f>MAX(0.02,MIN(0.9,NORMINV(RAND(),$C$11,0.10)))</f>
        <v/>
      </c>
      <c r="H570" s="32">
        <f>MAX(0.02,MIN(0.98,NORMINV(RAND(),$C$13,0.15)))</f>
        <v/>
      </c>
      <c r="I570" s="32">
        <f>MAX(0,NORMINV(RAND(),$C$14,0.033))</f>
        <v/>
      </c>
      <c r="J570" s="33">
        <f>($C$7*$C$8/365)*F570</f>
        <v/>
      </c>
      <c r="K570" s="33">
        <f>$C$7*G570*$C$12*H570</f>
        <v/>
      </c>
      <c r="L570" s="33">
        <f>$C$7*I570*$C$15</f>
        <v/>
      </c>
      <c r="M570" s="33">
        <f>J570-K570-L570</f>
        <v/>
      </c>
    </row>
    <row r="571">
      <c r="E571" s="20" t="n">
        <v>563</v>
      </c>
      <c r="F571" s="32">
        <f>MAX(0.03,MIN(0.18,NORMINV(RAND(),$C$9,$C$10)))</f>
        <v/>
      </c>
      <c r="G571" s="32">
        <f>MAX(0.02,MIN(0.9,NORMINV(RAND(),$C$11,0.10)))</f>
        <v/>
      </c>
      <c r="H571" s="32">
        <f>MAX(0.02,MIN(0.98,NORMINV(RAND(),$C$13,0.15)))</f>
        <v/>
      </c>
      <c r="I571" s="32">
        <f>MAX(0,NORMINV(RAND(),$C$14,0.033))</f>
        <v/>
      </c>
      <c r="J571" s="33">
        <f>($C$7*$C$8/365)*F571</f>
        <v/>
      </c>
      <c r="K571" s="33">
        <f>$C$7*G571*$C$12*H571</f>
        <v/>
      </c>
      <c r="L571" s="33">
        <f>$C$7*I571*$C$15</f>
        <v/>
      </c>
      <c r="M571" s="33">
        <f>J571-K571-L571</f>
        <v/>
      </c>
    </row>
    <row r="572">
      <c r="E572" s="20" t="n">
        <v>564</v>
      </c>
      <c r="F572" s="32">
        <f>MAX(0.03,MIN(0.18,NORMINV(RAND(),$C$9,$C$10)))</f>
        <v/>
      </c>
      <c r="G572" s="32">
        <f>MAX(0.02,MIN(0.9,NORMINV(RAND(),$C$11,0.10)))</f>
        <v/>
      </c>
      <c r="H572" s="32">
        <f>MAX(0.02,MIN(0.98,NORMINV(RAND(),$C$13,0.15)))</f>
        <v/>
      </c>
      <c r="I572" s="32">
        <f>MAX(0,NORMINV(RAND(),$C$14,0.033))</f>
        <v/>
      </c>
      <c r="J572" s="33">
        <f>($C$7*$C$8/365)*F572</f>
        <v/>
      </c>
      <c r="K572" s="33">
        <f>$C$7*G572*$C$12*H572</f>
        <v/>
      </c>
      <c r="L572" s="33">
        <f>$C$7*I572*$C$15</f>
        <v/>
      </c>
      <c r="M572" s="33">
        <f>J572-K572-L572</f>
        <v/>
      </c>
    </row>
    <row r="573">
      <c r="E573" s="20" t="n">
        <v>565</v>
      </c>
      <c r="F573" s="32">
        <f>MAX(0.03,MIN(0.18,NORMINV(RAND(),$C$9,$C$10)))</f>
        <v/>
      </c>
      <c r="G573" s="32">
        <f>MAX(0.02,MIN(0.9,NORMINV(RAND(),$C$11,0.10)))</f>
        <v/>
      </c>
      <c r="H573" s="32">
        <f>MAX(0.02,MIN(0.98,NORMINV(RAND(),$C$13,0.15)))</f>
        <v/>
      </c>
      <c r="I573" s="32">
        <f>MAX(0,NORMINV(RAND(),$C$14,0.033))</f>
        <v/>
      </c>
      <c r="J573" s="33">
        <f>($C$7*$C$8/365)*F573</f>
        <v/>
      </c>
      <c r="K573" s="33">
        <f>$C$7*G573*$C$12*H573</f>
        <v/>
      </c>
      <c r="L573" s="33">
        <f>$C$7*I573*$C$15</f>
        <v/>
      </c>
      <c r="M573" s="33">
        <f>J573-K573-L573</f>
        <v/>
      </c>
    </row>
    <row r="574">
      <c r="E574" s="20" t="n">
        <v>566</v>
      </c>
      <c r="F574" s="32">
        <f>MAX(0.03,MIN(0.18,NORMINV(RAND(),$C$9,$C$10)))</f>
        <v/>
      </c>
      <c r="G574" s="32">
        <f>MAX(0.02,MIN(0.9,NORMINV(RAND(),$C$11,0.10)))</f>
        <v/>
      </c>
      <c r="H574" s="32">
        <f>MAX(0.02,MIN(0.98,NORMINV(RAND(),$C$13,0.15)))</f>
        <v/>
      </c>
      <c r="I574" s="32">
        <f>MAX(0,NORMINV(RAND(),$C$14,0.033))</f>
        <v/>
      </c>
      <c r="J574" s="33">
        <f>($C$7*$C$8/365)*F574</f>
        <v/>
      </c>
      <c r="K574" s="33">
        <f>$C$7*G574*$C$12*H574</f>
        <v/>
      </c>
      <c r="L574" s="33">
        <f>$C$7*I574*$C$15</f>
        <v/>
      </c>
      <c r="M574" s="33">
        <f>J574-K574-L574</f>
        <v/>
      </c>
    </row>
    <row r="575">
      <c r="E575" s="20" t="n">
        <v>567</v>
      </c>
      <c r="F575" s="32">
        <f>MAX(0.03,MIN(0.18,NORMINV(RAND(),$C$9,$C$10)))</f>
        <v/>
      </c>
      <c r="G575" s="32">
        <f>MAX(0.02,MIN(0.9,NORMINV(RAND(),$C$11,0.10)))</f>
        <v/>
      </c>
      <c r="H575" s="32">
        <f>MAX(0.02,MIN(0.98,NORMINV(RAND(),$C$13,0.15)))</f>
        <v/>
      </c>
      <c r="I575" s="32">
        <f>MAX(0,NORMINV(RAND(),$C$14,0.033))</f>
        <v/>
      </c>
      <c r="J575" s="33">
        <f>($C$7*$C$8/365)*F575</f>
        <v/>
      </c>
      <c r="K575" s="33">
        <f>$C$7*G575*$C$12*H575</f>
        <v/>
      </c>
      <c r="L575" s="33">
        <f>$C$7*I575*$C$15</f>
        <v/>
      </c>
      <c r="M575" s="33">
        <f>J575-K575-L575</f>
        <v/>
      </c>
    </row>
    <row r="576">
      <c r="E576" s="20" t="n">
        <v>568</v>
      </c>
      <c r="F576" s="32">
        <f>MAX(0.03,MIN(0.18,NORMINV(RAND(),$C$9,$C$10)))</f>
        <v/>
      </c>
      <c r="G576" s="32">
        <f>MAX(0.02,MIN(0.9,NORMINV(RAND(),$C$11,0.10)))</f>
        <v/>
      </c>
      <c r="H576" s="32">
        <f>MAX(0.02,MIN(0.98,NORMINV(RAND(),$C$13,0.15)))</f>
        <v/>
      </c>
      <c r="I576" s="32">
        <f>MAX(0,NORMINV(RAND(),$C$14,0.033))</f>
        <v/>
      </c>
      <c r="J576" s="33">
        <f>($C$7*$C$8/365)*F576</f>
        <v/>
      </c>
      <c r="K576" s="33">
        <f>$C$7*G576*$C$12*H576</f>
        <v/>
      </c>
      <c r="L576" s="33">
        <f>$C$7*I576*$C$15</f>
        <v/>
      </c>
      <c r="M576" s="33">
        <f>J576-K576-L576</f>
        <v/>
      </c>
    </row>
    <row r="577">
      <c r="E577" s="20" t="n">
        <v>569</v>
      </c>
      <c r="F577" s="32">
        <f>MAX(0.03,MIN(0.18,NORMINV(RAND(),$C$9,$C$10)))</f>
        <v/>
      </c>
      <c r="G577" s="32">
        <f>MAX(0.02,MIN(0.9,NORMINV(RAND(),$C$11,0.10)))</f>
        <v/>
      </c>
      <c r="H577" s="32">
        <f>MAX(0.02,MIN(0.98,NORMINV(RAND(),$C$13,0.15)))</f>
        <v/>
      </c>
      <c r="I577" s="32">
        <f>MAX(0,NORMINV(RAND(),$C$14,0.033))</f>
        <v/>
      </c>
      <c r="J577" s="33">
        <f>($C$7*$C$8/365)*F577</f>
        <v/>
      </c>
      <c r="K577" s="33">
        <f>$C$7*G577*$C$12*H577</f>
        <v/>
      </c>
      <c r="L577" s="33">
        <f>$C$7*I577*$C$15</f>
        <v/>
      </c>
      <c r="M577" s="33">
        <f>J577-K577-L577</f>
        <v/>
      </c>
    </row>
    <row r="578">
      <c r="E578" s="20" t="n">
        <v>570</v>
      </c>
      <c r="F578" s="32">
        <f>MAX(0.03,MIN(0.18,NORMINV(RAND(),$C$9,$C$10)))</f>
        <v/>
      </c>
      <c r="G578" s="32">
        <f>MAX(0.02,MIN(0.9,NORMINV(RAND(),$C$11,0.10)))</f>
        <v/>
      </c>
      <c r="H578" s="32">
        <f>MAX(0.02,MIN(0.98,NORMINV(RAND(),$C$13,0.15)))</f>
        <v/>
      </c>
      <c r="I578" s="32">
        <f>MAX(0,NORMINV(RAND(),$C$14,0.033))</f>
        <v/>
      </c>
      <c r="J578" s="33">
        <f>($C$7*$C$8/365)*F578</f>
        <v/>
      </c>
      <c r="K578" s="33">
        <f>$C$7*G578*$C$12*H578</f>
        <v/>
      </c>
      <c r="L578" s="33">
        <f>$C$7*I578*$C$15</f>
        <v/>
      </c>
      <c r="M578" s="33">
        <f>J578-K578-L578</f>
        <v/>
      </c>
    </row>
    <row r="579">
      <c r="E579" s="20" t="n">
        <v>571</v>
      </c>
      <c r="F579" s="32">
        <f>MAX(0.03,MIN(0.18,NORMINV(RAND(),$C$9,$C$10)))</f>
        <v/>
      </c>
      <c r="G579" s="32">
        <f>MAX(0.02,MIN(0.9,NORMINV(RAND(),$C$11,0.10)))</f>
        <v/>
      </c>
      <c r="H579" s="32">
        <f>MAX(0.02,MIN(0.98,NORMINV(RAND(),$C$13,0.15)))</f>
        <v/>
      </c>
      <c r="I579" s="32">
        <f>MAX(0,NORMINV(RAND(),$C$14,0.033))</f>
        <v/>
      </c>
      <c r="J579" s="33">
        <f>($C$7*$C$8/365)*F579</f>
        <v/>
      </c>
      <c r="K579" s="33">
        <f>$C$7*G579*$C$12*H579</f>
        <v/>
      </c>
      <c r="L579" s="33">
        <f>$C$7*I579*$C$15</f>
        <v/>
      </c>
      <c r="M579" s="33">
        <f>J579-K579-L579</f>
        <v/>
      </c>
    </row>
    <row r="580">
      <c r="E580" s="20" t="n">
        <v>572</v>
      </c>
      <c r="F580" s="32">
        <f>MAX(0.03,MIN(0.18,NORMINV(RAND(),$C$9,$C$10)))</f>
        <v/>
      </c>
      <c r="G580" s="32">
        <f>MAX(0.02,MIN(0.9,NORMINV(RAND(),$C$11,0.10)))</f>
        <v/>
      </c>
      <c r="H580" s="32">
        <f>MAX(0.02,MIN(0.98,NORMINV(RAND(),$C$13,0.15)))</f>
        <v/>
      </c>
      <c r="I580" s="32">
        <f>MAX(0,NORMINV(RAND(),$C$14,0.033))</f>
        <v/>
      </c>
      <c r="J580" s="33">
        <f>($C$7*$C$8/365)*F580</f>
        <v/>
      </c>
      <c r="K580" s="33">
        <f>$C$7*G580*$C$12*H580</f>
        <v/>
      </c>
      <c r="L580" s="33">
        <f>$C$7*I580*$C$15</f>
        <v/>
      </c>
      <c r="M580" s="33">
        <f>J580-K580-L580</f>
        <v/>
      </c>
    </row>
    <row r="581">
      <c r="E581" s="20" t="n">
        <v>573</v>
      </c>
      <c r="F581" s="32">
        <f>MAX(0.03,MIN(0.18,NORMINV(RAND(),$C$9,$C$10)))</f>
        <v/>
      </c>
      <c r="G581" s="32">
        <f>MAX(0.02,MIN(0.9,NORMINV(RAND(),$C$11,0.10)))</f>
        <v/>
      </c>
      <c r="H581" s="32">
        <f>MAX(0.02,MIN(0.98,NORMINV(RAND(),$C$13,0.15)))</f>
        <v/>
      </c>
      <c r="I581" s="32">
        <f>MAX(0,NORMINV(RAND(),$C$14,0.033))</f>
        <v/>
      </c>
      <c r="J581" s="33">
        <f>($C$7*$C$8/365)*F581</f>
        <v/>
      </c>
      <c r="K581" s="33">
        <f>$C$7*G581*$C$12*H581</f>
        <v/>
      </c>
      <c r="L581" s="33">
        <f>$C$7*I581*$C$15</f>
        <v/>
      </c>
      <c r="M581" s="33">
        <f>J581-K581-L581</f>
        <v/>
      </c>
    </row>
    <row r="582">
      <c r="E582" s="20" t="n">
        <v>574</v>
      </c>
      <c r="F582" s="32">
        <f>MAX(0.03,MIN(0.18,NORMINV(RAND(),$C$9,$C$10)))</f>
        <v/>
      </c>
      <c r="G582" s="32">
        <f>MAX(0.02,MIN(0.9,NORMINV(RAND(),$C$11,0.10)))</f>
        <v/>
      </c>
      <c r="H582" s="32">
        <f>MAX(0.02,MIN(0.98,NORMINV(RAND(),$C$13,0.15)))</f>
        <v/>
      </c>
      <c r="I582" s="32">
        <f>MAX(0,NORMINV(RAND(),$C$14,0.033))</f>
        <v/>
      </c>
      <c r="J582" s="33">
        <f>($C$7*$C$8/365)*F582</f>
        <v/>
      </c>
      <c r="K582" s="33">
        <f>$C$7*G582*$C$12*H582</f>
        <v/>
      </c>
      <c r="L582" s="33">
        <f>$C$7*I582*$C$15</f>
        <v/>
      </c>
      <c r="M582" s="33">
        <f>J582-K582-L582</f>
        <v/>
      </c>
    </row>
    <row r="583">
      <c r="E583" s="20" t="n">
        <v>575</v>
      </c>
      <c r="F583" s="32">
        <f>MAX(0.03,MIN(0.18,NORMINV(RAND(),$C$9,$C$10)))</f>
        <v/>
      </c>
      <c r="G583" s="32">
        <f>MAX(0.02,MIN(0.9,NORMINV(RAND(),$C$11,0.10)))</f>
        <v/>
      </c>
      <c r="H583" s="32">
        <f>MAX(0.02,MIN(0.98,NORMINV(RAND(),$C$13,0.15)))</f>
        <v/>
      </c>
      <c r="I583" s="32">
        <f>MAX(0,NORMINV(RAND(),$C$14,0.033))</f>
        <v/>
      </c>
      <c r="J583" s="33">
        <f>($C$7*$C$8/365)*F583</f>
        <v/>
      </c>
      <c r="K583" s="33">
        <f>$C$7*G583*$C$12*H583</f>
        <v/>
      </c>
      <c r="L583" s="33">
        <f>$C$7*I583*$C$15</f>
        <v/>
      </c>
      <c r="M583" s="33">
        <f>J583-K583-L583</f>
        <v/>
      </c>
    </row>
    <row r="584">
      <c r="E584" s="20" t="n">
        <v>576</v>
      </c>
      <c r="F584" s="32">
        <f>MAX(0.03,MIN(0.18,NORMINV(RAND(),$C$9,$C$10)))</f>
        <v/>
      </c>
      <c r="G584" s="32">
        <f>MAX(0.02,MIN(0.9,NORMINV(RAND(),$C$11,0.10)))</f>
        <v/>
      </c>
      <c r="H584" s="32">
        <f>MAX(0.02,MIN(0.98,NORMINV(RAND(),$C$13,0.15)))</f>
        <v/>
      </c>
      <c r="I584" s="32">
        <f>MAX(0,NORMINV(RAND(),$C$14,0.033))</f>
        <v/>
      </c>
      <c r="J584" s="33">
        <f>($C$7*$C$8/365)*F584</f>
        <v/>
      </c>
      <c r="K584" s="33">
        <f>$C$7*G584*$C$12*H584</f>
        <v/>
      </c>
      <c r="L584" s="33">
        <f>$C$7*I584*$C$15</f>
        <v/>
      </c>
      <c r="M584" s="33">
        <f>J584-K584-L584</f>
        <v/>
      </c>
    </row>
    <row r="585">
      <c r="E585" s="20" t="n">
        <v>577</v>
      </c>
      <c r="F585" s="32">
        <f>MAX(0.03,MIN(0.18,NORMINV(RAND(),$C$9,$C$10)))</f>
        <v/>
      </c>
      <c r="G585" s="32">
        <f>MAX(0.02,MIN(0.9,NORMINV(RAND(),$C$11,0.10)))</f>
        <v/>
      </c>
      <c r="H585" s="32">
        <f>MAX(0.02,MIN(0.98,NORMINV(RAND(),$C$13,0.15)))</f>
        <v/>
      </c>
      <c r="I585" s="32">
        <f>MAX(0,NORMINV(RAND(),$C$14,0.033))</f>
        <v/>
      </c>
      <c r="J585" s="33">
        <f>($C$7*$C$8/365)*F585</f>
        <v/>
      </c>
      <c r="K585" s="33">
        <f>$C$7*G585*$C$12*H585</f>
        <v/>
      </c>
      <c r="L585" s="33">
        <f>$C$7*I585*$C$15</f>
        <v/>
      </c>
      <c r="M585" s="33">
        <f>J585-K585-L585</f>
        <v/>
      </c>
    </row>
    <row r="586">
      <c r="E586" s="20" t="n">
        <v>578</v>
      </c>
      <c r="F586" s="32">
        <f>MAX(0.03,MIN(0.18,NORMINV(RAND(),$C$9,$C$10)))</f>
        <v/>
      </c>
      <c r="G586" s="32">
        <f>MAX(0.02,MIN(0.9,NORMINV(RAND(),$C$11,0.10)))</f>
        <v/>
      </c>
      <c r="H586" s="32">
        <f>MAX(0.02,MIN(0.98,NORMINV(RAND(),$C$13,0.15)))</f>
        <v/>
      </c>
      <c r="I586" s="32">
        <f>MAX(0,NORMINV(RAND(),$C$14,0.033))</f>
        <v/>
      </c>
      <c r="J586" s="33">
        <f>($C$7*$C$8/365)*F586</f>
        <v/>
      </c>
      <c r="K586" s="33">
        <f>$C$7*G586*$C$12*H586</f>
        <v/>
      </c>
      <c r="L586" s="33">
        <f>$C$7*I586*$C$15</f>
        <v/>
      </c>
      <c r="M586" s="33">
        <f>J586-K586-L586</f>
        <v/>
      </c>
    </row>
    <row r="587">
      <c r="E587" s="20" t="n">
        <v>579</v>
      </c>
      <c r="F587" s="32">
        <f>MAX(0.03,MIN(0.18,NORMINV(RAND(),$C$9,$C$10)))</f>
        <v/>
      </c>
      <c r="G587" s="32">
        <f>MAX(0.02,MIN(0.9,NORMINV(RAND(),$C$11,0.10)))</f>
        <v/>
      </c>
      <c r="H587" s="32">
        <f>MAX(0.02,MIN(0.98,NORMINV(RAND(),$C$13,0.15)))</f>
        <v/>
      </c>
      <c r="I587" s="32">
        <f>MAX(0,NORMINV(RAND(),$C$14,0.033))</f>
        <v/>
      </c>
      <c r="J587" s="33">
        <f>($C$7*$C$8/365)*F587</f>
        <v/>
      </c>
      <c r="K587" s="33">
        <f>$C$7*G587*$C$12*H587</f>
        <v/>
      </c>
      <c r="L587" s="33">
        <f>$C$7*I587*$C$15</f>
        <v/>
      </c>
      <c r="M587" s="33">
        <f>J587-K587-L587</f>
        <v/>
      </c>
    </row>
    <row r="588">
      <c r="E588" s="20" t="n">
        <v>580</v>
      </c>
      <c r="F588" s="32">
        <f>MAX(0.03,MIN(0.18,NORMINV(RAND(),$C$9,$C$10)))</f>
        <v/>
      </c>
      <c r="G588" s="32">
        <f>MAX(0.02,MIN(0.9,NORMINV(RAND(),$C$11,0.10)))</f>
        <v/>
      </c>
      <c r="H588" s="32">
        <f>MAX(0.02,MIN(0.98,NORMINV(RAND(),$C$13,0.15)))</f>
        <v/>
      </c>
      <c r="I588" s="32">
        <f>MAX(0,NORMINV(RAND(),$C$14,0.033))</f>
        <v/>
      </c>
      <c r="J588" s="33">
        <f>($C$7*$C$8/365)*F588</f>
        <v/>
      </c>
      <c r="K588" s="33">
        <f>$C$7*G588*$C$12*H588</f>
        <v/>
      </c>
      <c r="L588" s="33">
        <f>$C$7*I588*$C$15</f>
        <v/>
      </c>
      <c r="M588" s="33">
        <f>J588-K588-L588</f>
        <v/>
      </c>
    </row>
    <row r="589">
      <c r="E589" s="20" t="n">
        <v>581</v>
      </c>
      <c r="F589" s="32">
        <f>MAX(0.03,MIN(0.18,NORMINV(RAND(),$C$9,$C$10)))</f>
        <v/>
      </c>
      <c r="G589" s="32">
        <f>MAX(0.02,MIN(0.9,NORMINV(RAND(),$C$11,0.10)))</f>
        <v/>
      </c>
      <c r="H589" s="32">
        <f>MAX(0.02,MIN(0.98,NORMINV(RAND(),$C$13,0.15)))</f>
        <v/>
      </c>
      <c r="I589" s="32">
        <f>MAX(0,NORMINV(RAND(),$C$14,0.033))</f>
        <v/>
      </c>
      <c r="J589" s="33">
        <f>($C$7*$C$8/365)*F589</f>
        <v/>
      </c>
      <c r="K589" s="33">
        <f>$C$7*G589*$C$12*H589</f>
        <v/>
      </c>
      <c r="L589" s="33">
        <f>$C$7*I589*$C$15</f>
        <v/>
      </c>
      <c r="M589" s="33">
        <f>J589-K589-L589</f>
        <v/>
      </c>
    </row>
    <row r="590">
      <c r="E590" s="20" t="n">
        <v>582</v>
      </c>
      <c r="F590" s="32">
        <f>MAX(0.03,MIN(0.18,NORMINV(RAND(),$C$9,$C$10)))</f>
        <v/>
      </c>
      <c r="G590" s="32">
        <f>MAX(0.02,MIN(0.9,NORMINV(RAND(),$C$11,0.10)))</f>
        <v/>
      </c>
      <c r="H590" s="32">
        <f>MAX(0.02,MIN(0.98,NORMINV(RAND(),$C$13,0.15)))</f>
        <v/>
      </c>
      <c r="I590" s="32">
        <f>MAX(0,NORMINV(RAND(),$C$14,0.033))</f>
        <v/>
      </c>
      <c r="J590" s="33">
        <f>($C$7*$C$8/365)*F590</f>
        <v/>
      </c>
      <c r="K590" s="33">
        <f>$C$7*G590*$C$12*H590</f>
        <v/>
      </c>
      <c r="L590" s="33">
        <f>$C$7*I590*$C$15</f>
        <v/>
      </c>
      <c r="M590" s="33">
        <f>J590-K590-L590</f>
        <v/>
      </c>
    </row>
    <row r="591">
      <c r="E591" s="20" t="n">
        <v>583</v>
      </c>
      <c r="F591" s="32">
        <f>MAX(0.03,MIN(0.18,NORMINV(RAND(),$C$9,$C$10)))</f>
        <v/>
      </c>
      <c r="G591" s="32">
        <f>MAX(0.02,MIN(0.9,NORMINV(RAND(),$C$11,0.10)))</f>
        <v/>
      </c>
      <c r="H591" s="32">
        <f>MAX(0.02,MIN(0.98,NORMINV(RAND(),$C$13,0.15)))</f>
        <v/>
      </c>
      <c r="I591" s="32">
        <f>MAX(0,NORMINV(RAND(),$C$14,0.033))</f>
        <v/>
      </c>
      <c r="J591" s="33">
        <f>($C$7*$C$8/365)*F591</f>
        <v/>
      </c>
      <c r="K591" s="33">
        <f>$C$7*G591*$C$12*H591</f>
        <v/>
      </c>
      <c r="L591" s="33">
        <f>$C$7*I591*$C$15</f>
        <v/>
      </c>
      <c r="M591" s="33">
        <f>J591-K591-L591</f>
        <v/>
      </c>
    </row>
    <row r="592">
      <c r="E592" s="20" t="n">
        <v>584</v>
      </c>
      <c r="F592" s="32">
        <f>MAX(0.03,MIN(0.18,NORMINV(RAND(),$C$9,$C$10)))</f>
        <v/>
      </c>
      <c r="G592" s="32">
        <f>MAX(0.02,MIN(0.9,NORMINV(RAND(),$C$11,0.10)))</f>
        <v/>
      </c>
      <c r="H592" s="32">
        <f>MAX(0.02,MIN(0.98,NORMINV(RAND(),$C$13,0.15)))</f>
        <v/>
      </c>
      <c r="I592" s="32">
        <f>MAX(0,NORMINV(RAND(),$C$14,0.033))</f>
        <v/>
      </c>
      <c r="J592" s="33">
        <f>($C$7*$C$8/365)*F592</f>
        <v/>
      </c>
      <c r="K592" s="33">
        <f>$C$7*G592*$C$12*H592</f>
        <v/>
      </c>
      <c r="L592" s="33">
        <f>$C$7*I592*$C$15</f>
        <v/>
      </c>
      <c r="M592" s="33">
        <f>J592-K592-L592</f>
        <v/>
      </c>
    </row>
    <row r="593">
      <c r="E593" s="20" t="n">
        <v>585</v>
      </c>
      <c r="F593" s="32">
        <f>MAX(0.03,MIN(0.18,NORMINV(RAND(),$C$9,$C$10)))</f>
        <v/>
      </c>
      <c r="G593" s="32">
        <f>MAX(0.02,MIN(0.9,NORMINV(RAND(),$C$11,0.10)))</f>
        <v/>
      </c>
      <c r="H593" s="32">
        <f>MAX(0.02,MIN(0.98,NORMINV(RAND(),$C$13,0.15)))</f>
        <v/>
      </c>
      <c r="I593" s="32">
        <f>MAX(0,NORMINV(RAND(),$C$14,0.033))</f>
        <v/>
      </c>
      <c r="J593" s="33">
        <f>($C$7*$C$8/365)*F593</f>
        <v/>
      </c>
      <c r="K593" s="33">
        <f>$C$7*G593*$C$12*H593</f>
        <v/>
      </c>
      <c r="L593" s="33">
        <f>$C$7*I593*$C$15</f>
        <v/>
      </c>
      <c r="M593" s="33">
        <f>J593-K593-L593</f>
        <v/>
      </c>
    </row>
    <row r="594">
      <c r="E594" s="20" t="n">
        <v>586</v>
      </c>
      <c r="F594" s="32">
        <f>MAX(0.03,MIN(0.18,NORMINV(RAND(),$C$9,$C$10)))</f>
        <v/>
      </c>
      <c r="G594" s="32">
        <f>MAX(0.02,MIN(0.9,NORMINV(RAND(),$C$11,0.10)))</f>
        <v/>
      </c>
      <c r="H594" s="32">
        <f>MAX(0.02,MIN(0.98,NORMINV(RAND(),$C$13,0.15)))</f>
        <v/>
      </c>
      <c r="I594" s="32">
        <f>MAX(0,NORMINV(RAND(),$C$14,0.033))</f>
        <v/>
      </c>
      <c r="J594" s="33">
        <f>($C$7*$C$8/365)*F594</f>
        <v/>
      </c>
      <c r="K594" s="33">
        <f>$C$7*G594*$C$12*H594</f>
        <v/>
      </c>
      <c r="L594" s="33">
        <f>$C$7*I594*$C$15</f>
        <v/>
      </c>
      <c r="M594" s="33">
        <f>J594-K594-L594</f>
        <v/>
      </c>
    </row>
    <row r="595">
      <c r="E595" s="20" t="n">
        <v>587</v>
      </c>
      <c r="F595" s="32">
        <f>MAX(0.03,MIN(0.18,NORMINV(RAND(),$C$9,$C$10)))</f>
        <v/>
      </c>
      <c r="G595" s="32">
        <f>MAX(0.02,MIN(0.9,NORMINV(RAND(),$C$11,0.10)))</f>
        <v/>
      </c>
      <c r="H595" s="32">
        <f>MAX(0.02,MIN(0.98,NORMINV(RAND(),$C$13,0.15)))</f>
        <v/>
      </c>
      <c r="I595" s="32">
        <f>MAX(0,NORMINV(RAND(),$C$14,0.033))</f>
        <v/>
      </c>
      <c r="J595" s="33">
        <f>($C$7*$C$8/365)*F595</f>
        <v/>
      </c>
      <c r="K595" s="33">
        <f>$C$7*G595*$C$12*H595</f>
        <v/>
      </c>
      <c r="L595" s="33">
        <f>$C$7*I595*$C$15</f>
        <v/>
      </c>
      <c r="M595" s="33">
        <f>J595-K595-L595</f>
        <v/>
      </c>
    </row>
    <row r="596">
      <c r="E596" s="20" t="n">
        <v>588</v>
      </c>
      <c r="F596" s="32">
        <f>MAX(0.03,MIN(0.18,NORMINV(RAND(),$C$9,$C$10)))</f>
        <v/>
      </c>
      <c r="G596" s="32">
        <f>MAX(0.02,MIN(0.9,NORMINV(RAND(),$C$11,0.10)))</f>
        <v/>
      </c>
      <c r="H596" s="32">
        <f>MAX(0.02,MIN(0.98,NORMINV(RAND(),$C$13,0.15)))</f>
        <v/>
      </c>
      <c r="I596" s="32">
        <f>MAX(0,NORMINV(RAND(),$C$14,0.033))</f>
        <v/>
      </c>
      <c r="J596" s="33">
        <f>($C$7*$C$8/365)*F596</f>
        <v/>
      </c>
      <c r="K596" s="33">
        <f>$C$7*G596*$C$12*H596</f>
        <v/>
      </c>
      <c r="L596" s="33">
        <f>$C$7*I596*$C$15</f>
        <v/>
      </c>
      <c r="M596" s="33">
        <f>J596-K596-L596</f>
        <v/>
      </c>
    </row>
    <row r="597">
      <c r="E597" s="20" t="n">
        <v>589</v>
      </c>
      <c r="F597" s="32">
        <f>MAX(0.03,MIN(0.18,NORMINV(RAND(),$C$9,$C$10)))</f>
        <v/>
      </c>
      <c r="G597" s="32">
        <f>MAX(0.02,MIN(0.9,NORMINV(RAND(),$C$11,0.10)))</f>
        <v/>
      </c>
      <c r="H597" s="32">
        <f>MAX(0.02,MIN(0.98,NORMINV(RAND(),$C$13,0.15)))</f>
        <v/>
      </c>
      <c r="I597" s="32">
        <f>MAX(0,NORMINV(RAND(),$C$14,0.033))</f>
        <v/>
      </c>
      <c r="J597" s="33">
        <f>($C$7*$C$8/365)*F597</f>
        <v/>
      </c>
      <c r="K597" s="33">
        <f>$C$7*G597*$C$12*H597</f>
        <v/>
      </c>
      <c r="L597" s="33">
        <f>$C$7*I597*$C$15</f>
        <v/>
      </c>
      <c r="M597" s="33">
        <f>J597-K597-L597</f>
        <v/>
      </c>
    </row>
    <row r="598">
      <c r="E598" s="20" t="n">
        <v>590</v>
      </c>
      <c r="F598" s="32">
        <f>MAX(0.03,MIN(0.18,NORMINV(RAND(),$C$9,$C$10)))</f>
        <v/>
      </c>
      <c r="G598" s="32">
        <f>MAX(0.02,MIN(0.9,NORMINV(RAND(),$C$11,0.10)))</f>
        <v/>
      </c>
      <c r="H598" s="32">
        <f>MAX(0.02,MIN(0.98,NORMINV(RAND(),$C$13,0.15)))</f>
        <v/>
      </c>
      <c r="I598" s="32">
        <f>MAX(0,NORMINV(RAND(),$C$14,0.033))</f>
        <v/>
      </c>
      <c r="J598" s="33">
        <f>($C$7*$C$8/365)*F598</f>
        <v/>
      </c>
      <c r="K598" s="33">
        <f>$C$7*G598*$C$12*H598</f>
        <v/>
      </c>
      <c r="L598" s="33">
        <f>$C$7*I598*$C$15</f>
        <v/>
      </c>
      <c r="M598" s="33">
        <f>J598-K598-L598</f>
        <v/>
      </c>
    </row>
    <row r="599">
      <c r="E599" s="20" t="n">
        <v>591</v>
      </c>
      <c r="F599" s="32">
        <f>MAX(0.03,MIN(0.18,NORMINV(RAND(),$C$9,$C$10)))</f>
        <v/>
      </c>
      <c r="G599" s="32">
        <f>MAX(0.02,MIN(0.9,NORMINV(RAND(),$C$11,0.10)))</f>
        <v/>
      </c>
      <c r="H599" s="32">
        <f>MAX(0.02,MIN(0.98,NORMINV(RAND(),$C$13,0.15)))</f>
        <v/>
      </c>
      <c r="I599" s="32">
        <f>MAX(0,NORMINV(RAND(),$C$14,0.033))</f>
        <v/>
      </c>
      <c r="J599" s="33">
        <f>($C$7*$C$8/365)*F599</f>
        <v/>
      </c>
      <c r="K599" s="33">
        <f>$C$7*G599*$C$12*H599</f>
        <v/>
      </c>
      <c r="L599" s="33">
        <f>$C$7*I599*$C$15</f>
        <v/>
      </c>
      <c r="M599" s="33">
        <f>J599-K599-L599</f>
        <v/>
      </c>
    </row>
    <row r="600">
      <c r="E600" s="20" t="n">
        <v>592</v>
      </c>
      <c r="F600" s="32">
        <f>MAX(0.03,MIN(0.18,NORMINV(RAND(),$C$9,$C$10)))</f>
        <v/>
      </c>
      <c r="G600" s="32">
        <f>MAX(0.02,MIN(0.9,NORMINV(RAND(),$C$11,0.10)))</f>
        <v/>
      </c>
      <c r="H600" s="32">
        <f>MAX(0.02,MIN(0.98,NORMINV(RAND(),$C$13,0.15)))</f>
        <v/>
      </c>
      <c r="I600" s="32">
        <f>MAX(0,NORMINV(RAND(),$C$14,0.033))</f>
        <v/>
      </c>
      <c r="J600" s="33">
        <f>($C$7*$C$8/365)*F600</f>
        <v/>
      </c>
      <c r="K600" s="33">
        <f>$C$7*G600*$C$12*H600</f>
        <v/>
      </c>
      <c r="L600" s="33">
        <f>$C$7*I600*$C$15</f>
        <v/>
      </c>
      <c r="M600" s="33">
        <f>J600-K600-L600</f>
        <v/>
      </c>
    </row>
    <row r="601">
      <c r="E601" s="20" t="n">
        <v>593</v>
      </c>
      <c r="F601" s="32">
        <f>MAX(0.03,MIN(0.18,NORMINV(RAND(),$C$9,$C$10)))</f>
        <v/>
      </c>
      <c r="G601" s="32">
        <f>MAX(0.02,MIN(0.9,NORMINV(RAND(),$C$11,0.10)))</f>
        <v/>
      </c>
      <c r="H601" s="32">
        <f>MAX(0.02,MIN(0.98,NORMINV(RAND(),$C$13,0.15)))</f>
        <v/>
      </c>
      <c r="I601" s="32">
        <f>MAX(0,NORMINV(RAND(),$C$14,0.033))</f>
        <v/>
      </c>
      <c r="J601" s="33">
        <f>($C$7*$C$8/365)*F601</f>
        <v/>
      </c>
      <c r="K601" s="33">
        <f>$C$7*G601*$C$12*H601</f>
        <v/>
      </c>
      <c r="L601" s="33">
        <f>$C$7*I601*$C$15</f>
        <v/>
      </c>
      <c r="M601" s="33">
        <f>J601-K601-L601</f>
        <v/>
      </c>
    </row>
    <row r="602">
      <c r="E602" s="20" t="n">
        <v>594</v>
      </c>
      <c r="F602" s="32">
        <f>MAX(0.03,MIN(0.18,NORMINV(RAND(),$C$9,$C$10)))</f>
        <v/>
      </c>
      <c r="G602" s="32">
        <f>MAX(0.02,MIN(0.9,NORMINV(RAND(),$C$11,0.10)))</f>
        <v/>
      </c>
      <c r="H602" s="32">
        <f>MAX(0.02,MIN(0.98,NORMINV(RAND(),$C$13,0.15)))</f>
        <v/>
      </c>
      <c r="I602" s="32">
        <f>MAX(0,NORMINV(RAND(),$C$14,0.033))</f>
        <v/>
      </c>
      <c r="J602" s="33">
        <f>($C$7*$C$8/365)*F602</f>
        <v/>
      </c>
      <c r="K602" s="33">
        <f>$C$7*G602*$C$12*H602</f>
        <v/>
      </c>
      <c r="L602" s="33">
        <f>$C$7*I602*$C$15</f>
        <v/>
      </c>
      <c r="M602" s="33">
        <f>J602-K602-L602</f>
        <v/>
      </c>
    </row>
    <row r="603">
      <c r="E603" s="20" t="n">
        <v>595</v>
      </c>
      <c r="F603" s="32">
        <f>MAX(0.03,MIN(0.18,NORMINV(RAND(),$C$9,$C$10)))</f>
        <v/>
      </c>
      <c r="G603" s="32">
        <f>MAX(0.02,MIN(0.9,NORMINV(RAND(),$C$11,0.10)))</f>
        <v/>
      </c>
      <c r="H603" s="32">
        <f>MAX(0.02,MIN(0.98,NORMINV(RAND(),$C$13,0.15)))</f>
        <v/>
      </c>
      <c r="I603" s="32">
        <f>MAX(0,NORMINV(RAND(),$C$14,0.033))</f>
        <v/>
      </c>
      <c r="J603" s="33">
        <f>($C$7*$C$8/365)*F603</f>
        <v/>
      </c>
      <c r="K603" s="33">
        <f>$C$7*G603*$C$12*H603</f>
        <v/>
      </c>
      <c r="L603" s="33">
        <f>$C$7*I603*$C$15</f>
        <v/>
      </c>
      <c r="M603" s="33">
        <f>J603-K603-L603</f>
        <v/>
      </c>
    </row>
    <row r="604">
      <c r="E604" s="20" t="n">
        <v>596</v>
      </c>
      <c r="F604" s="32">
        <f>MAX(0.03,MIN(0.18,NORMINV(RAND(),$C$9,$C$10)))</f>
        <v/>
      </c>
      <c r="G604" s="32">
        <f>MAX(0.02,MIN(0.9,NORMINV(RAND(),$C$11,0.10)))</f>
        <v/>
      </c>
      <c r="H604" s="32">
        <f>MAX(0.02,MIN(0.98,NORMINV(RAND(),$C$13,0.15)))</f>
        <v/>
      </c>
      <c r="I604" s="32">
        <f>MAX(0,NORMINV(RAND(),$C$14,0.033))</f>
        <v/>
      </c>
      <c r="J604" s="33">
        <f>($C$7*$C$8/365)*F604</f>
        <v/>
      </c>
      <c r="K604" s="33">
        <f>$C$7*G604*$C$12*H604</f>
        <v/>
      </c>
      <c r="L604" s="33">
        <f>$C$7*I604*$C$15</f>
        <v/>
      </c>
      <c r="M604" s="33">
        <f>J604-K604-L604</f>
        <v/>
      </c>
    </row>
    <row r="605">
      <c r="E605" s="20" t="n">
        <v>597</v>
      </c>
      <c r="F605" s="32">
        <f>MAX(0.03,MIN(0.18,NORMINV(RAND(),$C$9,$C$10)))</f>
        <v/>
      </c>
      <c r="G605" s="32">
        <f>MAX(0.02,MIN(0.9,NORMINV(RAND(),$C$11,0.10)))</f>
        <v/>
      </c>
      <c r="H605" s="32">
        <f>MAX(0.02,MIN(0.98,NORMINV(RAND(),$C$13,0.15)))</f>
        <v/>
      </c>
      <c r="I605" s="32">
        <f>MAX(0,NORMINV(RAND(),$C$14,0.033))</f>
        <v/>
      </c>
      <c r="J605" s="33">
        <f>($C$7*$C$8/365)*F605</f>
        <v/>
      </c>
      <c r="K605" s="33">
        <f>$C$7*G605*$C$12*H605</f>
        <v/>
      </c>
      <c r="L605" s="33">
        <f>$C$7*I605*$C$15</f>
        <v/>
      </c>
      <c r="M605" s="33">
        <f>J605-K605-L605</f>
        <v/>
      </c>
    </row>
    <row r="606">
      <c r="E606" s="20" t="n">
        <v>598</v>
      </c>
      <c r="F606" s="32">
        <f>MAX(0.03,MIN(0.18,NORMINV(RAND(),$C$9,$C$10)))</f>
        <v/>
      </c>
      <c r="G606" s="32">
        <f>MAX(0.02,MIN(0.9,NORMINV(RAND(),$C$11,0.10)))</f>
        <v/>
      </c>
      <c r="H606" s="32">
        <f>MAX(0.02,MIN(0.98,NORMINV(RAND(),$C$13,0.15)))</f>
        <v/>
      </c>
      <c r="I606" s="32">
        <f>MAX(0,NORMINV(RAND(),$C$14,0.033))</f>
        <v/>
      </c>
      <c r="J606" s="33">
        <f>($C$7*$C$8/365)*F606</f>
        <v/>
      </c>
      <c r="K606" s="33">
        <f>$C$7*G606*$C$12*H606</f>
        <v/>
      </c>
      <c r="L606" s="33">
        <f>$C$7*I606*$C$15</f>
        <v/>
      </c>
      <c r="M606" s="33">
        <f>J606-K606-L606</f>
        <v/>
      </c>
    </row>
    <row r="607">
      <c r="E607" s="20" t="n">
        <v>599</v>
      </c>
      <c r="F607" s="32">
        <f>MAX(0.03,MIN(0.18,NORMINV(RAND(),$C$9,$C$10)))</f>
        <v/>
      </c>
      <c r="G607" s="32">
        <f>MAX(0.02,MIN(0.9,NORMINV(RAND(),$C$11,0.10)))</f>
        <v/>
      </c>
      <c r="H607" s="32">
        <f>MAX(0.02,MIN(0.98,NORMINV(RAND(),$C$13,0.15)))</f>
        <v/>
      </c>
      <c r="I607" s="32">
        <f>MAX(0,NORMINV(RAND(),$C$14,0.033))</f>
        <v/>
      </c>
      <c r="J607" s="33">
        <f>($C$7*$C$8/365)*F607</f>
        <v/>
      </c>
      <c r="K607" s="33">
        <f>$C$7*G607*$C$12*H607</f>
        <v/>
      </c>
      <c r="L607" s="33">
        <f>$C$7*I607*$C$15</f>
        <v/>
      </c>
      <c r="M607" s="33">
        <f>J607-K607-L607</f>
        <v/>
      </c>
    </row>
    <row r="608">
      <c r="E608" s="20" t="n">
        <v>600</v>
      </c>
      <c r="F608" s="32">
        <f>MAX(0.03,MIN(0.18,NORMINV(RAND(),$C$9,$C$10)))</f>
        <v/>
      </c>
      <c r="G608" s="32">
        <f>MAX(0.02,MIN(0.9,NORMINV(RAND(),$C$11,0.10)))</f>
        <v/>
      </c>
      <c r="H608" s="32">
        <f>MAX(0.02,MIN(0.98,NORMINV(RAND(),$C$13,0.15)))</f>
        <v/>
      </c>
      <c r="I608" s="32">
        <f>MAX(0,NORMINV(RAND(),$C$14,0.033))</f>
        <v/>
      </c>
      <c r="J608" s="33">
        <f>($C$7*$C$8/365)*F608</f>
        <v/>
      </c>
      <c r="K608" s="33">
        <f>$C$7*G608*$C$12*H608</f>
        <v/>
      </c>
      <c r="L608" s="33">
        <f>$C$7*I608*$C$15</f>
        <v/>
      </c>
      <c r="M608" s="33">
        <f>J608-K608-L608</f>
        <v/>
      </c>
    </row>
    <row r="609">
      <c r="E609" s="20" t="n">
        <v>601</v>
      </c>
      <c r="F609" s="32">
        <f>MAX(0.03,MIN(0.18,NORMINV(RAND(),$C$9,$C$10)))</f>
        <v/>
      </c>
      <c r="G609" s="32">
        <f>MAX(0.02,MIN(0.9,NORMINV(RAND(),$C$11,0.10)))</f>
        <v/>
      </c>
      <c r="H609" s="32">
        <f>MAX(0.02,MIN(0.98,NORMINV(RAND(),$C$13,0.15)))</f>
        <v/>
      </c>
      <c r="I609" s="32">
        <f>MAX(0,NORMINV(RAND(),$C$14,0.033))</f>
        <v/>
      </c>
      <c r="J609" s="33">
        <f>($C$7*$C$8/365)*F609</f>
        <v/>
      </c>
      <c r="K609" s="33">
        <f>$C$7*G609*$C$12*H609</f>
        <v/>
      </c>
      <c r="L609" s="33">
        <f>$C$7*I609*$C$15</f>
        <v/>
      </c>
      <c r="M609" s="33">
        <f>J609-K609-L609</f>
        <v/>
      </c>
    </row>
    <row r="610">
      <c r="E610" s="20" t="n">
        <v>602</v>
      </c>
      <c r="F610" s="32">
        <f>MAX(0.03,MIN(0.18,NORMINV(RAND(),$C$9,$C$10)))</f>
        <v/>
      </c>
      <c r="G610" s="32">
        <f>MAX(0.02,MIN(0.9,NORMINV(RAND(),$C$11,0.10)))</f>
        <v/>
      </c>
      <c r="H610" s="32">
        <f>MAX(0.02,MIN(0.98,NORMINV(RAND(),$C$13,0.15)))</f>
        <v/>
      </c>
      <c r="I610" s="32">
        <f>MAX(0,NORMINV(RAND(),$C$14,0.033))</f>
        <v/>
      </c>
      <c r="J610" s="33">
        <f>($C$7*$C$8/365)*F610</f>
        <v/>
      </c>
      <c r="K610" s="33">
        <f>$C$7*G610*$C$12*H610</f>
        <v/>
      </c>
      <c r="L610" s="33">
        <f>$C$7*I610*$C$15</f>
        <v/>
      </c>
      <c r="M610" s="33">
        <f>J610-K610-L610</f>
        <v/>
      </c>
    </row>
    <row r="611">
      <c r="E611" s="20" t="n">
        <v>603</v>
      </c>
      <c r="F611" s="32">
        <f>MAX(0.03,MIN(0.18,NORMINV(RAND(),$C$9,$C$10)))</f>
        <v/>
      </c>
      <c r="G611" s="32">
        <f>MAX(0.02,MIN(0.9,NORMINV(RAND(),$C$11,0.10)))</f>
        <v/>
      </c>
      <c r="H611" s="32">
        <f>MAX(0.02,MIN(0.98,NORMINV(RAND(),$C$13,0.15)))</f>
        <v/>
      </c>
      <c r="I611" s="32">
        <f>MAX(0,NORMINV(RAND(),$C$14,0.033))</f>
        <v/>
      </c>
      <c r="J611" s="33">
        <f>($C$7*$C$8/365)*F611</f>
        <v/>
      </c>
      <c r="K611" s="33">
        <f>$C$7*G611*$C$12*H611</f>
        <v/>
      </c>
      <c r="L611" s="33">
        <f>$C$7*I611*$C$15</f>
        <v/>
      </c>
      <c r="M611" s="33">
        <f>J611-K611-L611</f>
        <v/>
      </c>
    </row>
    <row r="612">
      <c r="E612" s="20" t="n">
        <v>604</v>
      </c>
      <c r="F612" s="32">
        <f>MAX(0.03,MIN(0.18,NORMINV(RAND(),$C$9,$C$10)))</f>
        <v/>
      </c>
      <c r="G612" s="32">
        <f>MAX(0.02,MIN(0.9,NORMINV(RAND(),$C$11,0.10)))</f>
        <v/>
      </c>
      <c r="H612" s="32">
        <f>MAX(0.02,MIN(0.98,NORMINV(RAND(),$C$13,0.15)))</f>
        <v/>
      </c>
      <c r="I612" s="32">
        <f>MAX(0,NORMINV(RAND(),$C$14,0.033))</f>
        <v/>
      </c>
      <c r="J612" s="33">
        <f>($C$7*$C$8/365)*F612</f>
        <v/>
      </c>
      <c r="K612" s="33">
        <f>$C$7*G612*$C$12*H612</f>
        <v/>
      </c>
      <c r="L612" s="33">
        <f>$C$7*I612*$C$15</f>
        <v/>
      </c>
      <c r="M612" s="33">
        <f>J612-K612-L612</f>
        <v/>
      </c>
    </row>
    <row r="613">
      <c r="E613" s="20" t="n">
        <v>605</v>
      </c>
      <c r="F613" s="32">
        <f>MAX(0.03,MIN(0.18,NORMINV(RAND(),$C$9,$C$10)))</f>
        <v/>
      </c>
      <c r="G613" s="32">
        <f>MAX(0.02,MIN(0.9,NORMINV(RAND(),$C$11,0.10)))</f>
        <v/>
      </c>
      <c r="H613" s="32">
        <f>MAX(0.02,MIN(0.98,NORMINV(RAND(),$C$13,0.15)))</f>
        <v/>
      </c>
      <c r="I613" s="32">
        <f>MAX(0,NORMINV(RAND(),$C$14,0.033))</f>
        <v/>
      </c>
      <c r="J613" s="33">
        <f>($C$7*$C$8/365)*F613</f>
        <v/>
      </c>
      <c r="K613" s="33">
        <f>$C$7*G613*$C$12*H613</f>
        <v/>
      </c>
      <c r="L613" s="33">
        <f>$C$7*I613*$C$15</f>
        <v/>
      </c>
      <c r="M613" s="33">
        <f>J613-K613-L613</f>
        <v/>
      </c>
    </row>
    <row r="614">
      <c r="E614" s="20" t="n">
        <v>606</v>
      </c>
      <c r="F614" s="32">
        <f>MAX(0.03,MIN(0.18,NORMINV(RAND(),$C$9,$C$10)))</f>
        <v/>
      </c>
      <c r="G614" s="32">
        <f>MAX(0.02,MIN(0.9,NORMINV(RAND(),$C$11,0.10)))</f>
        <v/>
      </c>
      <c r="H614" s="32">
        <f>MAX(0.02,MIN(0.98,NORMINV(RAND(),$C$13,0.15)))</f>
        <v/>
      </c>
      <c r="I614" s="32">
        <f>MAX(0,NORMINV(RAND(),$C$14,0.033))</f>
        <v/>
      </c>
      <c r="J614" s="33">
        <f>($C$7*$C$8/365)*F614</f>
        <v/>
      </c>
      <c r="K614" s="33">
        <f>$C$7*G614*$C$12*H614</f>
        <v/>
      </c>
      <c r="L614" s="33">
        <f>$C$7*I614*$C$15</f>
        <v/>
      </c>
      <c r="M614" s="33">
        <f>J614-K614-L614</f>
        <v/>
      </c>
    </row>
    <row r="615">
      <c r="E615" s="20" t="n">
        <v>607</v>
      </c>
      <c r="F615" s="32">
        <f>MAX(0.03,MIN(0.18,NORMINV(RAND(),$C$9,$C$10)))</f>
        <v/>
      </c>
      <c r="G615" s="32">
        <f>MAX(0.02,MIN(0.9,NORMINV(RAND(),$C$11,0.10)))</f>
        <v/>
      </c>
      <c r="H615" s="32">
        <f>MAX(0.02,MIN(0.98,NORMINV(RAND(),$C$13,0.15)))</f>
        <v/>
      </c>
      <c r="I615" s="32">
        <f>MAX(0,NORMINV(RAND(),$C$14,0.033))</f>
        <v/>
      </c>
      <c r="J615" s="33">
        <f>($C$7*$C$8/365)*F615</f>
        <v/>
      </c>
      <c r="K615" s="33">
        <f>$C$7*G615*$C$12*H615</f>
        <v/>
      </c>
      <c r="L615" s="33">
        <f>$C$7*I615*$C$15</f>
        <v/>
      </c>
      <c r="M615" s="33">
        <f>J615-K615-L615</f>
        <v/>
      </c>
    </row>
    <row r="616">
      <c r="E616" s="20" t="n">
        <v>608</v>
      </c>
      <c r="F616" s="32">
        <f>MAX(0.03,MIN(0.18,NORMINV(RAND(),$C$9,$C$10)))</f>
        <v/>
      </c>
      <c r="G616" s="32">
        <f>MAX(0.02,MIN(0.9,NORMINV(RAND(),$C$11,0.10)))</f>
        <v/>
      </c>
      <c r="H616" s="32">
        <f>MAX(0.02,MIN(0.98,NORMINV(RAND(),$C$13,0.15)))</f>
        <v/>
      </c>
      <c r="I616" s="32">
        <f>MAX(0,NORMINV(RAND(),$C$14,0.033))</f>
        <v/>
      </c>
      <c r="J616" s="33">
        <f>($C$7*$C$8/365)*F616</f>
        <v/>
      </c>
      <c r="K616" s="33">
        <f>$C$7*G616*$C$12*H616</f>
        <v/>
      </c>
      <c r="L616" s="33">
        <f>$C$7*I616*$C$15</f>
        <v/>
      </c>
      <c r="M616" s="33">
        <f>J616-K616-L616</f>
        <v/>
      </c>
    </row>
    <row r="617">
      <c r="E617" s="20" t="n">
        <v>609</v>
      </c>
      <c r="F617" s="32">
        <f>MAX(0.03,MIN(0.18,NORMINV(RAND(),$C$9,$C$10)))</f>
        <v/>
      </c>
      <c r="G617" s="32">
        <f>MAX(0.02,MIN(0.9,NORMINV(RAND(),$C$11,0.10)))</f>
        <v/>
      </c>
      <c r="H617" s="32">
        <f>MAX(0.02,MIN(0.98,NORMINV(RAND(),$C$13,0.15)))</f>
        <v/>
      </c>
      <c r="I617" s="32">
        <f>MAX(0,NORMINV(RAND(),$C$14,0.033))</f>
        <v/>
      </c>
      <c r="J617" s="33">
        <f>($C$7*$C$8/365)*F617</f>
        <v/>
      </c>
      <c r="K617" s="33">
        <f>$C$7*G617*$C$12*H617</f>
        <v/>
      </c>
      <c r="L617" s="33">
        <f>$C$7*I617*$C$15</f>
        <v/>
      </c>
      <c r="M617" s="33">
        <f>J617-K617-L617</f>
        <v/>
      </c>
    </row>
    <row r="618">
      <c r="E618" s="20" t="n">
        <v>610</v>
      </c>
      <c r="F618" s="32">
        <f>MAX(0.03,MIN(0.18,NORMINV(RAND(),$C$9,$C$10)))</f>
        <v/>
      </c>
      <c r="G618" s="32">
        <f>MAX(0.02,MIN(0.9,NORMINV(RAND(),$C$11,0.10)))</f>
        <v/>
      </c>
      <c r="H618" s="32">
        <f>MAX(0.02,MIN(0.98,NORMINV(RAND(),$C$13,0.15)))</f>
        <v/>
      </c>
      <c r="I618" s="32">
        <f>MAX(0,NORMINV(RAND(),$C$14,0.033))</f>
        <v/>
      </c>
      <c r="J618" s="33">
        <f>($C$7*$C$8/365)*F618</f>
        <v/>
      </c>
      <c r="K618" s="33">
        <f>$C$7*G618*$C$12*H618</f>
        <v/>
      </c>
      <c r="L618" s="33">
        <f>$C$7*I618*$C$15</f>
        <v/>
      </c>
      <c r="M618" s="33">
        <f>J618-K618-L618</f>
        <v/>
      </c>
    </row>
    <row r="619">
      <c r="E619" s="20" t="n">
        <v>611</v>
      </c>
      <c r="F619" s="32">
        <f>MAX(0.03,MIN(0.18,NORMINV(RAND(),$C$9,$C$10)))</f>
        <v/>
      </c>
      <c r="G619" s="32">
        <f>MAX(0.02,MIN(0.9,NORMINV(RAND(),$C$11,0.10)))</f>
        <v/>
      </c>
      <c r="H619" s="32">
        <f>MAX(0.02,MIN(0.98,NORMINV(RAND(),$C$13,0.15)))</f>
        <v/>
      </c>
      <c r="I619" s="32">
        <f>MAX(0,NORMINV(RAND(),$C$14,0.033))</f>
        <v/>
      </c>
      <c r="J619" s="33">
        <f>($C$7*$C$8/365)*F619</f>
        <v/>
      </c>
      <c r="K619" s="33">
        <f>$C$7*G619*$C$12*H619</f>
        <v/>
      </c>
      <c r="L619" s="33">
        <f>$C$7*I619*$C$15</f>
        <v/>
      </c>
      <c r="M619" s="33">
        <f>J619-K619-L619</f>
        <v/>
      </c>
    </row>
    <row r="620">
      <c r="E620" s="20" t="n">
        <v>612</v>
      </c>
      <c r="F620" s="32">
        <f>MAX(0.03,MIN(0.18,NORMINV(RAND(),$C$9,$C$10)))</f>
        <v/>
      </c>
      <c r="G620" s="32">
        <f>MAX(0.02,MIN(0.9,NORMINV(RAND(),$C$11,0.10)))</f>
        <v/>
      </c>
      <c r="H620" s="32">
        <f>MAX(0.02,MIN(0.98,NORMINV(RAND(),$C$13,0.15)))</f>
        <v/>
      </c>
      <c r="I620" s="32">
        <f>MAX(0,NORMINV(RAND(),$C$14,0.033))</f>
        <v/>
      </c>
      <c r="J620" s="33">
        <f>($C$7*$C$8/365)*F620</f>
        <v/>
      </c>
      <c r="K620" s="33">
        <f>$C$7*G620*$C$12*H620</f>
        <v/>
      </c>
      <c r="L620" s="33">
        <f>$C$7*I620*$C$15</f>
        <v/>
      </c>
      <c r="M620" s="33">
        <f>J620-K620-L620</f>
        <v/>
      </c>
    </row>
    <row r="621">
      <c r="E621" s="20" t="n">
        <v>613</v>
      </c>
      <c r="F621" s="32">
        <f>MAX(0.03,MIN(0.18,NORMINV(RAND(),$C$9,$C$10)))</f>
        <v/>
      </c>
      <c r="G621" s="32">
        <f>MAX(0.02,MIN(0.9,NORMINV(RAND(),$C$11,0.10)))</f>
        <v/>
      </c>
      <c r="H621" s="32">
        <f>MAX(0.02,MIN(0.98,NORMINV(RAND(),$C$13,0.15)))</f>
        <v/>
      </c>
      <c r="I621" s="32">
        <f>MAX(0,NORMINV(RAND(),$C$14,0.033))</f>
        <v/>
      </c>
      <c r="J621" s="33">
        <f>($C$7*$C$8/365)*F621</f>
        <v/>
      </c>
      <c r="K621" s="33">
        <f>$C$7*G621*$C$12*H621</f>
        <v/>
      </c>
      <c r="L621" s="33">
        <f>$C$7*I621*$C$15</f>
        <v/>
      </c>
      <c r="M621" s="33">
        <f>J621-K621-L621</f>
        <v/>
      </c>
    </row>
    <row r="622">
      <c r="E622" s="20" t="n">
        <v>614</v>
      </c>
      <c r="F622" s="32">
        <f>MAX(0.03,MIN(0.18,NORMINV(RAND(),$C$9,$C$10)))</f>
        <v/>
      </c>
      <c r="G622" s="32">
        <f>MAX(0.02,MIN(0.9,NORMINV(RAND(),$C$11,0.10)))</f>
        <v/>
      </c>
      <c r="H622" s="32">
        <f>MAX(0.02,MIN(0.98,NORMINV(RAND(),$C$13,0.15)))</f>
        <v/>
      </c>
      <c r="I622" s="32">
        <f>MAX(0,NORMINV(RAND(),$C$14,0.033))</f>
        <v/>
      </c>
      <c r="J622" s="33">
        <f>($C$7*$C$8/365)*F622</f>
        <v/>
      </c>
      <c r="K622" s="33">
        <f>$C$7*G622*$C$12*H622</f>
        <v/>
      </c>
      <c r="L622" s="33">
        <f>$C$7*I622*$C$15</f>
        <v/>
      </c>
      <c r="M622" s="33">
        <f>J622-K622-L622</f>
        <v/>
      </c>
    </row>
    <row r="623">
      <c r="E623" s="20" t="n">
        <v>615</v>
      </c>
      <c r="F623" s="32">
        <f>MAX(0.03,MIN(0.18,NORMINV(RAND(),$C$9,$C$10)))</f>
        <v/>
      </c>
      <c r="G623" s="32">
        <f>MAX(0.02,MIN(0.9,NORMINV(RAND(),$C$11,0.10)))</f>
        <v/>
      </c>
      <c r="H623" s="32">
        <f>MAX(0.02,MIN(0.98,NORMINV(RAND(),$C$13,0.15)))</f>
        <v/>
      </c>
      <c r="I623" s="32">
        <f>MAX(0,NORMINV(RAND(),$C$14,0.033))</f>
        <v/>
      </c>
      <c r="J623" s="33">
        <f>($C$7*$C$8/365)*F623</f>
        <v/>
      </c>
      <c r="K623" s="33">
        <f>$C$7*G623*$C$12*H623</f>
        <v/>
      </c>
      <c r="L623" s="33">
        <f>$C$7*I623*$C$15</f>
        <v/>
      </c>
      <c r="M623" s="33">
        <f>J623-K623-L623</f>
        <v/>
      </c>
    </row>
    <row r="624">
      <c r="E624" s="20" t="n">
        <v>616</v>
      </c>
      <c r="F624" s="32">
        <f>MAX(0.03,MIN(0.18,NORMINV(RAND(),$C$9,$C$10)))</f>
        <v/>
      </c>
      <c r="G624" s="32">
        <f>MAX(0.02,MIN(0.9,NORMINV(RAND(),$C$11,0.10)))</f>
        <v/>
      </c>
      <c r="H624" s="32">
        <f>MAX(0.02,MIN(0.98,NORMINV(RAND(),$C$13,0.15)))</f>
        <v/>
      </c>
      <c r="I624" s="32">
        <f>MAX(0,NORMINV(RAND(),$C$14,0.033))</f>
        <v/>
      </c>
      <c r="J624" s="33">
        <f>($C$7*$C$8/365)*F624</f>
        <v/>
      </c>
      <c r="K624" s="33">
        <f>$C$7*G624*$C$12*H624</f>
        <v/>
      </c>
      <c r="L624" s="33">
        <f>$C$7*I624*$C$15</f>
        <v/>
      </c>
      <c r="M624" s="33">
        <f>J624-K624-L624</f>
        <v/>
      </c>
    </row>
    <row r="625">
      <c r="E625" s="20" t="n">
        <v>617</v>
      </c>
      <c r="F625" s="32">
        <f>MAX(0.03,MIN(0.18,NORMINV(RAND(),$C$9,$C$10)))</f>
        <v/>
      </c>
      <c r="G625" s="32">
        <f>MAX(0.02,MIN(0.9,NORMINV(RAND(),$C$11,0.10)))</f>
        <v/>
      </c>
      <c r="H625" s="32">
        <f>MAX(0.02,MIN(0.98,NORMINV(RAND(),$C$13,0.15)))</f>
        <v/>
      </c>
      <c r="I625" s="32">
        <f>MAX(0,NORMINV(RAND(),$C$14,0.033))</f>
        <v/>
      </c>
      <c r="J625" s="33">
        <f>($C$7*$C$8/365)*F625</f>
        <v/>
      </c>
      <c r="K625" s="33">
        <f>$C$7*G625*$C$12*H625</f>
        <v/>
      </c>
      <c r="L625" s="33">
        <f>$C$7*I625*$C$15</f>
        <v/>
      </c>
      <c r="M625" s="33">
        <f>J625-K625-L625</f>
        <v/>
      </c>
    </row>
    <row r="626">
      <c r="E626" s="20" t="n">
        <v>618</v>
      </c>
      <c r="F626" s="32">
        <f>MAX(0.03,MIN(0.18,NORMINV(RAND(),$C$9,$C$10)))</f>
        <v/>
      </c>
      <c r="G626" s="32">
        <f>MAX(0.02,MIN(0.9,NORMINV(RAND(),$C$11,0.10)))</f>
        <v/>
      </c>
      <c r="H626" s="32">
        <f>MAX(0.02,MIN(0.98,NORMINV(RAND(),$C$13,0.15)))</f>
        <v/>
      </c>
      <c r="I626" s="32">
        <f>MAX(0,NORMINV(RAND(),$C$14,0.033))</f>
        <v/>
      </c>
      <c r="J626" s="33">
        <f>($C$7*$C$8/365)*F626</f>
        <v/>
      </c>
      <c r="K626" s="33">
        <f>$C$7*G626*$C$12*H626</f>
        <v/>
      </c>
      <c r="L626" s="33">
        <f>$C$7*I626*$C$15</f>
        <v/>
      </c>
      <c r="M626" s="33">
        <f>J626-K626-L626</f>
        <v/>
      </c>
    </row>
    <row r="627">
      <c r="E627" s="20" t="n">
        <v>619</v>
      </c>
      <c r="F627" s="32">
        <f>MAX(0.03,MIN(0.18,NORMINV(RAND(),$C$9,$C$10)))</f>
        <v/>
      </c>
      <c r="G627" s="32">
        <f>MAX(0.02,MIN(0.9,NORMINV(RAND(),$C$11,0.10)))</f>
        <v/>
      </c>
      <c r="H627" s="32">
        <f>MAX(0.02,MIN(0.98,NORMINV(RAND(),$C$13,0.15)))</f>
        <v/>
      </c>
      <c r="I627" s="32">
        <f>MAX(0,NORMINV(RAND(),$C$14,0.033))</f>
        <v/>
      </c>
      <c r="J627" s="33">
        <f>($C$7*$C$8/365)*F627</f>
        <v/>
      </c>
      <c r="K627" s="33">
        <f>$C$7*G627*$C$12*H627</f>
        <v/>
      </c>
      <c r="L627" s="33">
        <f>$C$7*I627*$C$15</f>
        <v/>
      </c>
      <c r="M627" s="33">
        <f>J627-K627-L627</f>
        <v/>
      </c>
    </row>
    <row r="628">
      <c r="E628" s="20" t="n">
        <v>620</v>
      </c>
      <c r="F628" s="32">
        <f>MAX(0.03,MIN(0.18,NORMINV(RAND(),$C$9,$C$10)))</f>
        <v/>
      </c>
      <c r="G628" s="32">
        <f>MAX(0.02,MIN(0.9,NORMINV(RAND(),$C$11,0.10)))</f>
        <v/>
      </c>
      <c r="H628" s="32">
        <f>MAX(0.02,MIN(0.98,NORMINV(RAND(),$C$13,0.15)))</f>
        <v/>
      </c>
      <c r="I628" s="32">
        <f>MAX(0,NORMINV(RAND(),$C$14,0.033))</f>
        <v/>
      </c>
      <c r="J628" s="33">
        <f>($C$7*$C$8/365)*F628</f>
        <v/>
      </c>
      <c r="K628" s="33">
        <f>$C$7*G628*$C$12*H628</f>
        <v/>
      </c>
      <c r="L628" s="33">
        <f>$C$7*I628*$C$15</f>
        <v/>
      </c>
      <c r="M628" s="33">
        <f>J628-K628-L628</f>
        <v/>
      </c>
    </row>
    <row r="629">
      <c r="E629" s="20" t="n">
        <v>621</v>
      </c>
      <c r="F629" s="32">
        <f>MAX(0.03,MIN(0.18,NORMINV(RAND(),$C$9,$C$10)))</f>
        <v/>
      </c>
      <c r="G629" s="32">
        <f>MAX(0.02,MIN(0.9,NORMINV(RAND(),$C$11,0.10)))</f>
        <v/>
      </c>
      <c r="H629" s="32">
        <f>MAX(0.02,MIN(0.98,NORMINV(RAND(),$C$13,0.15)))</f>
        <v/>
      </c>
      <c r="I629" s="32">
        <f>MAX(0,NORMINV(RAND(),$C$14,0.033))</f>
        <v/>
      </c>
      <c r="J629" s="33">
        <f>($C$7*$C$8/365)*F629</f>
        <v/>
      </c>
      <c r="K629" s="33">
        <f>$C$7*G629*$C$12*H629</f>
        <v/>
      </c>
      <c r="L629" s="33">
        <f>$C$7*I629*$C$15</f>
        <v/>
      </c>
      <c r="M629" s="33">
        <f>J629-K629-L629</f>
        <v/>
      </c>
    </row>
    <row r="630">
      <c r="E630" s="20" t="n">
        <v>622</v>
      </c>
      <c r="F630" s="32">
        <f>MAX(0.03,MIN(0.18,NORMINV(RAND(),$C$9,$C$10)))</f>
        <v/>
      </c>
      <c r="G630" s="32">
        <f>MAX(0.02,MIN(0.9,NORMINV(RAND(),$C$11,0.10)))</f>
        <v/>
      </c>
      <c r="H630" s="32">
        <f>MAX(0.02,MIN(0.98,NORMINV(RAND(),$C$13,0.15)))</f>
        <v/>
      </c>
      <c r="I630" s="32">
        <f>MAX(0,NORMINV(RAND(),$C$14,0.033))</f>
        <v/>
      </c>
      <c r="J630" s="33">
        <f>($C$7*$C$8/365)*F630</f>
        <v/>
      </c>
      <c r="K630" s="33">
        <f>$C$7*G630*$C$12*H630</f>
        <v/>
      </c>
      <c r="L630" s="33">
        <f>$C$7*I630*$C$15</f>
        <v/>
      </c>
      <c r="M630" s="33">
        <f>J630-K630-L630</f>
        <v/>
      </c>
    </row>
    <row r="631">
      <c r="E631" s="20" t="n">
        <v>623</v>
      </c>
      <c r="F631" s="32">
        <f>MAX(0.03,MIN(0.18,NORMINV(RAND(),$C$9,$C$10)))</f>
        <v/>
      </c>
      <c r="G631" s="32">
        <f>MAX(0.02,MIN(0.9,NORMINV(RAND(),$C$11,0.10)))</f>
        <v/>
      </c>
      <c r="H631" s="32">
        <f>MAX(0.02,MIN(0.98,NORMINV(RAND(),$C$13,0.15)))</f>
        <v/>
      </c>
      <c r="I631" s="32">
        <f>MAX(0,NORMINV(RAND(),$C$14,0.033))</f>
        <v/>
      </c>
      <c r="J631" s="33">
        <f>($C$7*$C$8/365)*F631</f>
        <v/>
      </c>
      <c r="K631" s="33">
        <f>$C$7*G631*$C$12*H631</f>
        <v/>
      </c>
      <c r="L631" s="33">
        <f>$C$7*I631*$C$15</f>
        <v/>
      </c>
      <c r="M631" s="33">
        <f>J631-K631-L631</f>
        <v/>
      </c>
    </row>
    <row r="632">
      <c r="E632" s="20" t="n">
        <v>624</v>
      </c>
      <c r="F632" s="32">
        <f>MAX(0.03,MIN(0.18,NORMINV(RAND(),$C$9,$C$10)))</f>
        <v/>
      </c>
      <c r="G632" s="32">
        <f>MAX(0.02,MIN(0.9,NORMINV(RAND(),$C$11,0.10)))</f>
        <v/>
      </c>
      <c r="H632" s="32">
        <f>MAX(0.02,MIN(0.98,NORMINV(RAND(),$C$13,0.15)))</f>
        <v/>
      </c>
      <c r="I632" s="32">
        <f>MAX(0,NORMINV(RAND(),$C$14,0.033))</f>
        <v/>
      </c>
      <c r="J632" s="33">
        <f>($C$7*$C$8/365)*F632</f>
        <v/>
      </c>
      <c r="K632" s="33">
        <f>$C$7*G632*$C$12*H632</f>
        <v/>
      </c>
      <c r="L632" s="33">
        <f>$C$7*I632*$C$15</f>
        <v/>
      </c>
      <c r="M632" s="33">
        <f>J632-K632-L632</f>
        <v/>
      </c>
    </row>
    <row r="633">
      <c r="E633" s="20" t="n">
        <v>625</v>
      </c>
      <c r="F633" s="32">
        <f>MAX(0.03,MIN(0.18,NORMINV(RAND(),$C$9,$C$10)))</f>
        <v/>
      </c>
      <c r="G633" s="32">
        <f>MAX(0.02,MIN(0.9,NORMINV(RAND(),$C$11,0.10)))</f>
        <v/>
      </c>
      <c r="H633" s="32">
        <f>MAX(0.02,MIN(0.98,NORMINV(RAND(),$C$13,0.15)))</f>
        <v/>
      </c>
      <c r="I633" s="32">
        <f>MAX(0,NORMINV(RAND(),$C$14,0.033))</f>
        <v/>
      </c>
      <c r="J633" s="33">
        <f>($C$7*$C$8/365)*F633</f>
        <v/>
      </c>
      <c r="K633" s="33">
        <f>$C$7*G633*$C$12*H633</f>
        <v/>
      </c>
      <c r="L633" s="33">
        <f>$C$7*I633*$C$15</f>
        <v/>
      </c>
      <c r="M633" s="33">
        <f>J633-K633-L633</f>
        <v/>
      </c>
    </row>
    <row r="634">
      <c r="E634" s="20" t="n">
        <v>626</v>
      </c>
      <c r="F634" s="32">
        <f>MAX(0.03,MIN(0.18,NORMINV(RAND(),$C$9,$C$10)))</f>
        <v/>
      </c>
      <c r="G634" s="32">
        <f>MAX(0.02,MIN(0.9,NORMINV(RAND(),$C$11,0.10)))</f>
        <v/>
      </c>
      <c r="H634" s="32">
        <f>MAX(0.02,MIN(0.98,NORMINV(RAND(),$C$13,0.15)))</f>
        <v/>
      </c>
      <c r="I634" s="32">
        <f>MAX(0,NORMINV(RAND(),$C$14,0.033))</f>
        <v/>
      </c>
      <c r="J634" s="33">
        <f>($C$7*$C$8/365)*F634</f>
        <v/>
      </c>
      <c r="K634" s="33">
        <f>$C$7*G634*$C$12*H634</f>
        <v/>
      </c>
      <c r="L634" s="33">
        <f>$C$7*I634*$C$15</f>
        <v/>
      </c>
      <c r="M634" s="33">
        <f>J634-K634-L634</f>
        <v/>
      </c>
    </row>
    <row r="635">
      <c r="E635" s="20" t="n">
        <v>627</v>
      </c>
      <c r="F635" s="32">
        <f>MAX(0.03,MIN(0.18,NORMINV(RAND(),$C$9,$C$10)))</f>
        <v/>
      </c>
      <c r="G635" s="32">
        <f>MAX(0.02,MIN(0.9,NORMINV(RAND(),$C$11,0.10)))</f>
        <v/>
      </c>
      <c r="H635" s="32">
        <f>MAX(0.02,MIN(0.98,NORMINV(RAND(),$C$13,0.15)))</f>
        <v/>
      </c>
      <c r="I635" s="32">
        <f>MAX(0,NORMINV(RAND(),$C$14,0.033))</f>
        <v/>
      </c>
      <c r="J635" s="33">
        <f>($C$7*$C$8/365)*F635</f>
        <v/>
      </c>
      <c r="K635" s="33">
        <f>$C$7*G635*$C$12*H635</f>
        <v/>
      </c>
      <c r="L635" s="33">
        <f>$C$7*I635*$C$15</f>
        <v/>
      </c>
      <c r="M635" s="33">
        <f>J635-K635-L635</f>
        <v/>
      </c>
    </row>
    <row r="636">
      <c r="E636" s="20" t="n">
        <v>628</v>
      </c>
      <c r="F636" s="32">
        <f>MAX(0.03,MIN(0.18,NORMINV(RAND(),$C$9,$C$10)))</f>
        <v/>
      </c>
      <c r="G636" s="32">
        <f>MAX(0.02,MIN(0.9,NORMINV(RAND(),$C$11,0.10)))</f>
        <v/>
      </c>
      <c r="H636" s="32">
        <f>MAX(0.02,MIN(0.98,NORMINV(RAND(),$C$13,0.15)))</f>
        <v/>
      </c>
      <c r="I636" s="32">
        <f>MAX(0,NORMINV(RAND(),$C$14,0.033))</f>
        <v/>
      </c>
      <c r="J636" s="33">
        <f>($C$7*$C$8/365)*F636</f>
        <v/>
      </c>
      <c r="K636" s="33">
        <f>$C$7*G636*$C$12*H636</f>
        <v/>
      </c>
      <c r="L636" s="33">
        <f>$C$7*I636*$C$15</f>
        <v/>
      </c>
      <c r="M636" s="33">
        <f>J636-K636-L636</f>
        <v/>
      </c>
    </row>
    <row r="637">
      <c r="E637" s="20" t="n">
        <v>629</v>
      </c>
      <c r="F637" s="32">
        <f>MAX(0.03,MIN(0.18,NORMINV(RAND(),$C$9,$C$10)))</f>
        <v/>
      </c>
      <c r="G637" s="32">
        <f>MAX(0.02,MIN(0.9,NORMINV(RAND(),$C$11,0.10)))</f>
        <v/>
      </c>
      <c r="H637" s="32">
        <f>MAX(0.02,MIN(0.98,NORMINV(RAND(),$C$13,0.15)))</f>
        <v/>
      </c>
      <c r="I637" s="32">
        <f>MAX(0,NORMINV(RAND(),$C$14,0.033))</f>
        <v/>
      </c>
      <c r="J637" s="33">
        <f>($C$7*$C$8/365)*F637</f>
        <v/>
      </c>
      <c r="K637" s="33">
        <f>$C$7*G637*$C$12*H637</f>
        <v/>
      </c>
      <c r="L637" s="33">
        <f>$C$7*I637*$C$15</f>
        <v/>
      </c>
      <c r="M637" s="33">
        <f>J637-K637-L637</f>
        <v/>
      </c>
    </row>
    <row r="638">
      <c r="E638" s="20" t="n">
        <v>630</v>
      </c>
      <c r="F638" s="32">
        <f>MAX(0.03,MIN(0.18,NORMINV(RAND(),$C$9,$C$10)))</f>
        <v/>
      </c>
      <c r="G638" s="32">
        <f>MAX(0.02,MIN(0.9,NORMINV(RAND(),$C$11,0.10)))</f>
        <v/>
      </c>
      <c r="H638" s="32">
        <f>MAX(0.02,MIN(0.98,NORMINV(RAND(),$C$13,0.15)))</f>
        <v/>
      </c>
      <c r="I638" s="32">
        <f>MAX(0,NORMINV(RAND(),$C$14,0.033))</f>
        <v/>
      </c>
      <c r="J638" s="33">
        <f>($C$7*$C$8/365)*F638</f>
        <v/>
      </c>
      <c r="K638" s="33">
        <f>$C$7*G638*$C$12*H638</f>
        <v/>
      </c>
      <c r="L638" s="33">
        <f>$C$7*I638*$C$15</f>
        <v/>
      </c>
      <c r="M638" s="33">
        <f>J638-K638-L638</f>
        <v/>
      </c>
    </row>
    <row r="639">
      <c r="E639" s="20" t="n">
        <v>631</v>
      </c>
      <c r="F639" s="32">
        <f>MAX(0.03,MIN(0.18,NORMINV(RAND(),$C$9,$C$10)))</f>
        <v/>
      </c>
      <c r="G639" s="32">
        <f>MAX(0.02,MIN(0.9,NORMINV(RAND(),$C$11,0.10)))</f>
        <v/>
      </c>
      <c r="H639" s="32">
        <f>MAX(0.02,MIN(0.98,NORMINV(RAND(),$C$13,0.15)))</f>
        <v/>
      </c>
      <c r="I639" s="32">
        <f>MAX(0,NORMINV(RAND(),$C$14,0.033))</f>
        <v/>
      </c>
      <c r="J639" s="33">
        <f>($C$7*$C$8/365)*F639</f>
        <v/>
      </c>
      <c r="K639" s="33">
        <f>$C$7*G639*$C$12*H639</f>
        <v/>
      </c>
      <c r="L639" s="33">
        <f>$C$7*I639*$C$15</f>
        <v/>
      </c>
      <c r="M639" s="33">
        <f>J639-K639-L639</f>
        <v/>
      </c>
    </row>
    <row r="640">
      <c r="E640" s="20" t="n">
        <v>632</v>
      </c>
      <c r="F640" s="32">
        <f>MAX(0.03,MIN(0.18,NORMINV(RAND(),$C$9,$C$10)))</f>
        <v/>
      </c>
      <c r="G640" s="32">
        <f>MAX(0.02,MIN(0.9,NORMINV(RAND(),$C$11,0.10)))</f>
        <v/>
      </c>
      <c r="H640" s="32">
        <f>MAX(0.02,MIN(0.98,NORMINV(RAND(),$C$13,0.15)))</f>
        <v/>
      </c>
      <c r="I640" s="32">
        <f>MAX(0,NORMINV(RAND(),$C$14,0.033))</f>
        <v/>
      </c>
      <c r="J640" s="33">
        <f>($C$7*$C$8/365)*F640</f>
        <v/>
      </c>
      <c r="K640" s="33">
        <f>$C$7*G640*$C$12*H640</f>
        <v/>
      </c>
      <c r="L640" s="33">
        <f>$C$7*I640*$C$15</f>
        <v/>
      </c>
      <c r="M640" s="33">
        <f>J640-K640-L640</f>
        <v/>
      </c>
    </row>
    <row r="641">
      <c r="E641" s="20" t="n">
        <v>633</v>
      </c>
      <c r="F641" s="32">
        <f>MAX(0.03,MIN(0.18,NORMINV(RAND(),$C$9,$C$10)))</f>
        <v/>
      </c>
      <c r="G641" s="32">
        <f>MAX(0.02,MIN(0.9,NORMINV(RAND(),$C$11,0.10)))</f>
        <v/>
      </c>
      <c r="H641" s="32">
        <f>MAX(0.02,MIN(0.98,NORMINV(RAND(),$C$13,0.15)))</f>
        <v/>
      </c>
      <c r="I641" s="32">
        <f>MAX(0,NORMINV(RAND(),$C$14,0.033))</f>
        <v/>
      </c>
      <c r="J641" s="33">
        <f>($C$7*$C$8/365)*F641</f>
        <v/>
      </c>
      <c r="K641" s="33">
        <f>$C$7*G641*$C$12*H641</f>
        <v/>
      </c>
      <c r="L641" s="33">
        <f>$C$7*I641*$C$15</f>
        <v/>
      </c>
      <c r="M641" s="33">
        <f>J641-K641-L641</f>
        <v/>
      </c>
    </row>
    <row r="642">
      <c r="E642" s="20" t="n">
        <v>634</v>
      </c>
      <c r="F642" s="32">
        <f>MAX(0.03,MIN(0.18,NORMINV(RAND(),$C$9,$C$10)))</f>
        <v/>
      </c>
      <c r="G642" s="32">
        <f>MAX(0.02,MIN(0.9,NORMINV(RAND(),$C$11,0.10)))</f>
        <v/>
      </c>
      <c r="H642" s="32">
        <f>MAX(0.02,MIN(0.98,NORMINV(RAND(),$C$13,0.15)))</f>
        <v/>
      </c>
      <c r="I642" s="32">
        <f>MAX(0,NORMINV(RAND(),$C$14,0.033))</f>
        <v/>
      </c>
      <c r="J642" s="33">
        <f>($C$7*$C$8/365)*F642</f>
        <v/>
      </c>
      <c r="K642" s="33">
        <f>$C$7*G642*$C$12*H642</f>
        <v/>
      </c>
      <c r="L642" s="33">
        <f>$C$7*I642*$C$15</f>
        <v/>
      </c>
      <c r="M642" s="33">
        <f>J642-K642-L642</f>
        <v/>
      </c>
    </row>
    <row r="643">
      <c r="E643" s="20" t="n">
        <v>635</v>
      </c>
      <c r="F643" s="32">
        <f>MAX(0.03,MIN(0.18,NORMINV(RAND(),$C$9,$C$10)))</f>
        <v/>
      </c>
      <c r="G643" s="32">
        <f>MAX(0.02,MIN(0.9,NORMINV(RAND(),$C$11,0.10)))</f>
        <v/>
      </c>
      <c r="H643" s="32">
        <f>MAX(0.02,MIN(0.98,NORMINV(RAND(),$C$13,0.15)))</f>
        <v/>
      </c>
      <c r="I643" s="32">
        <f>MAX(0,NORMINV(RAND(),$C$14,0.033))</f>
        <v/>
      </c>
      <c r="J643" s="33">
        <f>($C$7*$C$8/365)*F643</f>
        <v/>
      </c>
      <c r="K643" s="33">
        <f>$C$7*G643*$C$12*H643</f>
        <v/>
      </c>
      <c r="L643" s="33">
        <f>$C$7*I643*$C$15</f>
        <v/>
      </c>
      <c r="M643" s="33">
        <f>J643-K643-L643</f>
        <v/>
      </c>
    </row>
    <row r="644">
      <c r="E644" s="20" t="n">
        <v>636</v>
      </c>
      <c r="F644" s="32">
        <f>MAX(0.03,MIN(0.18,NORMINV(RAND(),$C$9,$C$10)))</f>
        <v/>
      </c>
      <c r="G644" s="32">
        <f>MAX(0.02,MIN(0.9,NORMINV(RAND(),$C$11,0.10)))</f>
        <v/>
      </c>
      <c r="H644" s="32">
        <f>MAX(0.02,MIN(0.98,NORMINV(RAND(),$C$13,0.15)))</f>
        <v/>
      </c>
      <c r="I644" s="32">
        <f>MAX(0,NORMINV(RAND(),$C$14,0.033))</f>
        <v/>
      </c>
      <c r="J644" s="33">
        <f>($C$7*$C$8/365)*F644</f>
        <v/>
      </c>
      <c r="K644" s="33">
        <f>$C$7*G644*$C$12*H644</f>
        <v/>
      </c>
      <c r="L644" s="33">
        <f>$C$7*I644*$C$15</f>
        <v/>
      </c>
      <c r="M644" s="33">
        <f>J644-K644-L644</f>
        <v/>
      </c>
    </row>
    <row r="645">
      <c r="E645" s="20" t="n">
        <v>637</v>
      </c>
      <c r="F645" s="32">
        <f>MAX(0.03,MIN(0.18,NORMINV(RAND(),$C$9,$C$10)))</f>
        <v/>
      </c>
      <c r="G645" s="32">
        <f>MAX(0.02,MIN(0.9,NORMINV(RAND(),$C$11,0.10)))</f>
        <v/>
      </c>
      <c r="H645" s="32">
        <f>MAX(0.02,MIN(0.98,NORMINV(RAND(),$C$13,0.15)))</f>
        <v/>
      </c>
      <c r="I645" s="32">
        <f>MAX(0,NORMINV(RAND(),$C$14,0.033))</f>
        <v/>
      </c>
      <c r="J645" s="33">
        <f>($C$7*$C$8/365)*F645</f>
        <v/>
      </c>
      <c r="K645" s="33">
        <f>$C$7*G645*$C$12*H645</f>
        <v/>
      </c>
      <c r="L645" s="33">
        <f>$C$7*I645*$C$15</f>
        <v/>
      </c>
      <c r="M645" s="33">
        <f>J645-K645-L645</f>
        <v/>
      </c>
    </row>
    <row r="646">
      <c r="E646" s="20" t="n">
        <v>638</v>
      </c>
      <c r="F646" s="32">
        <f>MAX(0.03,MIN(0.18,NORMINV(RAND(),$C$9,$C$10)))</f>
        <v/>
      </c>
      <c r="G646" s="32">
        <f>MAX(0.02,MIN(0.9,NORMINV(RAND(),$C$11,0.10)))</f>
        <v/>
      </c>
      <c r="H646" s="32">
        <f>MAX(0.02,MIN(0.98,NORMINV(RAND(),$C$13,0.15)))</f>
        <v/>
      </c>
      <c r="I646" s="32">
        <f>MAX(0,NORMINV(RAND(),$C$14,0.033))</f>
        <v/>
      </c>
      <c r="J646" s="33">
        <f>($C$7*$C$8/365)*F646</f>
        <v/>
      </c>
      <c r="K646" s="33">
        <f>$C$7*G646*$C$12*H646</f>
        <v/>
      </c>
      <c r="L646" s="33">
        <f>$C$7*I646*$C$15</f>
        <v/>
      </c>
      <c r="M646" s="33">
        <f>J646-K646-L646</f>
        <v/>
      </c>
    </row>
    <row r="647">
      <c r="E647" s="20" t="n">
        <v>639</v>
      </c>
      <c r="F647" s="32">
        <f>MAX(0.03,MIN(0.18,NORMINV(RAND(),$C$9,$C$10)))</f>
        <v/>
      </c>
      <c r="G647" s="32">
        <f>MAX(0.02,MIN(0.9,NORMINV(RAND(),$C$11,0.10)))</f>
        <v/>
      </c>
      <c r="H647" s="32">
        <f>MAX(0.02,MIN(0.98,NORMINV(RAND(),$C$13,0.15)))</f>
        <v/>
      </c>
      <c r="I647" s="32">
        <f>MAX(0,NORMINV(RAND(),$C$14,0.033))</f>
        <v/>
      </c>
      <c r="J647" s="33">
        <f>($C$7*$C$8/365)*F647</f>
        <v/>
      </c>
      <c r="K647" s="33">
        <f>$C$7*G647*$C$12*H647</f>
        <v/>
      </c>
      <c r="L647" s="33">
        <f>$C$7*I647*$C$15</f>
        <v/>
      </c>
      <c r="M647" s="33">
        <f>J647-K647-L647</f>
        <v/>
      </c>
    </row>
    <row r="648">
      <c r="E648" s="20" t="n">
        <v>640</v>
      </c>
      <c r="F648" s="32">
        <f>MAX(0.03,MIN(0.18,NORMINV(RAND(),$C$9,$C$10)))</f>
        <v/>
      </c>
      <c r="G648" s="32">
        <f>MAX(0.02,MIN(0.9,NORMINV(RAND(),$C$11,0.10)))</f>
        <v/>
      </c>
      <c r="H648" s="32">
        <f>MAX(0.02,MIN(0.98,NORMINV(RAND(),$C$13,0.15)))</f>
        <v/>
      </c>
      <c r="I648" s="32">
        <f>MAX(0,NORMINV(RAND(),$C$14,0.033))</f>
        <v/>
      </c>
      <c r="J648" s="33">
        <f>($C$7*$C$8/365)*F648</f>
        <v/>
      </c>
      <c r="K648" s="33">
        <f>$C$7*G648*$C$12*H648</f>
        <v/>
      </c>
      <c r="L648" s="33">
        <f>$C$7*I648*$C$15</f>
        <v/>
      </c>
      <c r="M648" s="33">
        <f>J648-K648-L648</f>
        <v/>
      </c>
    </row>
    <row r="649">
      <c r="E649" s="20" t="n">
        <v>641</v>
      </c>
      <c r="F649" s="32">
        <f>MAX(0.03,MIN(0.18,NORMINV(RAND(),$C$9,$C$10)))</f>
        <v/>
      </c>
      <c r="G649" s="32">
        <f>MAX(0.02,MIN(0.9,NORMINV(RAND(),$C$11,0.10)))</f>
        <v/>
      </c>
      <c r="H649" s="32">
        <f>MAX(0.02,MIN(0.98,NORMINV(RAND(),$C$13,0.15)))</f>
        <v/>
      </c>
      <c r="I649" s="32">
        <f>MAX(0,NORMINV(RAND(),$C$14,0.033))</f>
        <v/>
      </c>
      <c r="J649" s="33">
        <f>($C$7*$C$8/365)*F649</f>
        <v/>
      </c>
      <c r="K649" s="33">
        <f>$C$7*G649*$C$12*H649</f>
        <v/>
      </c>
      <c r="L649" s="33">
        <f>$C$7*I649*$C$15</f>
        <v/>
      </c>
      <c r="M649" s="33">
        <f>J649-K649-L649</f>
        <v/>
      </c>
    </row>
    <row r="650">
      <c r="E650" s="20" t="n">
        <v>642</v>
      </c>
      <c r="F650" s="32">
        <f>MAX(0.03,MIN(0.18,NORMINV(RAND(),$C$9,$C$10)))</f>
        <v/>
      </c>
      <c r="G650" s="32">
        <f>MAX(0.02,MIN(0.9,NORMINV(RAND(),$C$11,0.10)))</f>
        <v/>
      </c>
      <c r="H650" s="32">
        <f>MAX(0.02,MIN(0.98,NORMINV(RAND(),$C$13,0.15)))</f>
        <v/>
      </c>
      <c r="I650" s="32">
        <f>MAX(0,NORMINV(RAND(),$C$14,0.033))</f>
        <v/>
      </c>
      <c r="J650" s="33">
        <f>($C$7*$C$8/365)*F650</f>
        <v/>
      </c>
      <c r="K650" s="33">
        <f>$C$7*G650*$C$12*H650</f>
        <v/>
      </c>
      <c r="L650" s="33">
        <f>$C$7*I650*$C$15</f>
        <v/>
      </c>
      <c r="M650" s="33">
        <f>J650-K650-L650</f>
        <v/>
      </c>
    </row>
    <row r="651">
      <c r="E651" s="20" t="n">
        <v>643</v>
      </c>
      <c r="F651" s="32">
        <f>MAX(0.03,MIN(0.18,NORMINV(RAND(),$C$9,$C$10)))</f>
        <v/>
      </c>
      <c r="G651" s="32">
        <f>MAX(0.02,MIN(0.9,NORMINV(RAND(),$C$11,0.10)))</f>
        <v/>
      </c>
      <c r="H651" s="32">
        <f>MAX(0.02,MIN(0.98,NORMINV(RAND(),$C$13,0.15)))</f>
        <v/>
      </c>
      <c r="I651" s="32">
        <f>MAX(0,NORMINV(RAND(),$C$14,0.033))</f>
        <v/>
      </c>
      <c r="J651" s="33">
        <f>($C$7*$C$8/365)*F651</f>
        <v/>
      </c>
      <c r="K651" s="33">
        <f>$C$7*G651*$C$12*H651</f>
        <v/>
      </c>
      <c r="L651" s="33">
        <f>$C$7*I651*$C$15</f>
        <v/>
      </c>
      <c r="M651" s="33">
        <f>J651-K651-L651</f>
        <v/>
      </c>
    </row>
    <row r="652">
      <c r="E652" s="20" t="n">
        <v>644</v>
      </c>
      <c r="F652" s="32">
        <f>MAX(0.03,MIN(0.18,NORMINV(RAND(),$C$9,$C$10)))</f>
        <v/>
      </c>
      <c r="G652" s="32">
        <f>MAX(0.02,MIN(0.9,NORMINV(RAND(),$C$11,0.10)))</f>
        <v/>
      </c>
      <c r="H652" s="32">
        <f>MAX(0.02,MIN(0.98,NORMINV(RAND(),$C$13,0.15)))</f>
        <v/>
      </c>
      <c r="I652" s="32">
        <f>MAX(0,NORMINV(RAND(),$C$14,0.033))</f>
        <v/>
      </c>
      <c r="J652" s="33">
        <f>($C$7*$C$8/365)*F652</f>
        <v/>
      </c>
      <c r="K652" s="33">
        <f>$C$7*G652*$C$12*H652</f>
        <v/>
      </c>
      <c r="L652" s="33">
        <f>$C$7*I652*$C$15</f>
        <v/>
      </c>
      <c r="M652" s="33">
        <f>J652-K652-L652</f>
        <v/>
      </c>
    </row>
    <row r="653">
      <c r="E653" s="20" t="n">
        <v>645</v>
      </c>
      <c r="F653" s="32">
        <f>MAX(0.03,MIN(0.18,NORMINV(RAND(),$C$9,$C$10)))</f>
        <v/>
      </c>
      <c r="G653" s="32">
        <f>MAX(0.02,MIN(0.9,NORMINV(RAND(),$C$11,0.10)))</f>
        <v/>
      </c>
      <c r="H653" s="32">
        <f>MAX(0.02,MIN(0.98,NORMINV(RAND(),$C$13,0.15)))</f>
        <v/>
      </c>
      <c r="I653" s="32">
        <f>MAX(0,NORMINV(RAND(),$C$14,0.033))</f>
        <v/>
      </c>
      <c r="J653" s="33">
        <f>($C$7*$C$8/365)*F653</f>
        <v/>
      </c>
      <c r="K653" s="33">
        <f>$C$7*G653*$C$12*H653</f>
        <v/>
      </c>
      <c r="L653" s="33">
        <f>$C$7*I653*$C$15</f>
        <v/>
      </c>
      <c r="M653" s="33">
        <f>J653-K653-L653</f>
        <v/>
      </c>
    </row>
    <row r="654">
      <c r="E654" s="20" t="n">
        <v>646</v>
      </c>
      <c r="F654" s="32">
        <f>MAX(0.03,MIN(0.18,NORMINV(RAND(),$C$9,$C$10)))</f>
        <v/>
      </c>
      <c r="G654" s="32">
        <f>MAX(0.02,MIN(0.9,NORMINV(RAND(),$C$11,0.10)))</f>
        <v/>
      </c>
      <c r="H654" s="32">
        <f>MAX(0.02,MIN(0.98,NORMINV(RAND(),$C$13,0.15)))</f>
        <v/>
      </c>
      <c r="I654" s="32">
        <f>MAX(0,NORMINV(RAND(),$C$14,0.033))</f>
        <v/>
      </c>
      <c r="J654" s="33">
        <f>($C$7*$C$8/365)*F654</f>
        <v/>
      </c>
      <c r="K654" s="33">
        <f>$C$7*G654*$C$12*H654</f>
        <v/>
      </c>
      <c r="L654" s="33">
        <f>$C$7*I654*$C$15</f>
        <v/>
      </c>
      <c r="M654" s="33">
        <f>J654-K654-L654</f>
        <v/>
      </c>
    </row>
    <row r="655">
      <c r="E655" s="20" t="n">
        <v>647</v>
      </c>
      <c r="F655" s="32">
        <f>MAX(0.03,MIN(0.18,NORMINV(RAND(),$C$9,$C$10)))</f>
        <v/>
      </c>
      <c r="G655" s="32">
        <f>MAX(0.02,MIN(0.9,NORMINV(RAND(),$C$11,0.10)))</f>
        <v/>
      </c>
      <c r="H655" s="32">
        <f>MAX(0.02,MIN(0.98,NORMINV(RAND(),$C$13,0.15)))</f>
        <v/>
      </c>
      <c r="I655" s="32">
        <f>MAX(0,NORMINV(RAND(),$C$14,0.033))</f>
        <v/>
      </c>
      <c r="J655" s="33">
        <f>($C$7*$C$8/365)*F655</f>
        <v/>
      </c>
      <c r="K655" s="33">
        <f>$C$7*G655*$C$12*H655</f>
        <v/>
      </c>
      <c r="L655" s="33">
        <f>$C$7*I655*$C$15</f>
        <v/>
      </c>
      <c r="M655" s="33">
        <f>J655-K655-L655</f>
        <v/>
      </c>
    </row>
    <row r="656">
      <c r="E656" s="20" t="n">
        <v>648</v>
      </c>
      <c r="F656" s="32">
        <f>MAX(0.03,MIN(0.18,NORMINV(RAND(),$C$9,$C$10)))</f>
        <v/>
      </c>
      <c r="G656" s="32">
        <f>MAX(0.02,MIN(0.9,NORMINV(RAND(),$C$11,0.10)))</f>
        <v/>
      </c>
      <c r="H656" s="32">
        <f>MAX(0.02,MIN(0.98,NORMINV(RAND(),$C$13,0.15)))</f>
        <v/>
      </c>
      <c r="I656" s="32">
        <f>MAX(0,NORMINV(RAND(),$C$14,0.033))</f>
        <v/>
      </c>
      <c r="J656" s="33">
        <f>($C$7*$C$8/365)*F656</f>
        <v/>
      </c>
      <c r="K656" s="33">
        <f>$C$7*G656*$C$12*H656</f>
        <v/>
      </c>
      <c r="L656" s="33">
        <f>$C$7*I656*$C$15</f>
        <v/>
      </c>
      <c r="M656" s="33">
        <f>J656-K656-L656</f>
        <v/>
      </c>
    </row>
    <row r="657">
      <c r="E657" s="20" t="n">
        <v>649</v>
      </c>
      <c r="F657" s="32">
        <f>MAX(0.03,MIN(0.18,NORMINV(RAND(),$C$9,$C$10)))</f>
        <v/>
      </c>
      <c r="G657" s="32">
        <f>MAX(0.02,MIN(0.9,NORMINV(RAND(),$C$11,0.10)))</f>
        <v/>
      </c>
      <c r="H657" s="32">
        <f>MAX(0.02,MIN(0.98,NORMINV(RAND(),$C$13,0.15)))</f>
        <v/>
      </c>
      <c r="I657" s="32">
        <f>MAX(0,NORMINV(RAND(),$C$14,0.033))</f>
        <v/>
      </c>
      <c r="J657" s="33">
        <f>($C$7*$C$8/365)*F657</f>
        <v/>
      </c>
      <c r="K657" s="33">
        <f>$C$7*G657*$C$12*H657</f>
        <v/>
      </c>
      <c r="L657" s="33">
        <f>$C$7*I657*$C$15</f>
        <v/>
      </c>
      <c r="M657" s="33">
        <f>J657-K657-L657</f>
        <v/>
      </c>
    </row>
    <row r="658">
      <c r="E658" s="20" t="n">
        <v>650</v>
      </c>
      <c r="F658" s="32">
        <f>MAX(0.03,MIN(0.18,NORMINV(RAND(),$C$9,$C$10)))</f>
        <v/>
      </c>
      <c r="G658" s="32">
        <f>MAX(0.02,MIN(0.9,NORMINV(RAND(),$C$11,0.10)))</f>
        <v/>
      </c>
      <c r="H658" s="32">
        <f>MAX(0.02,MIN(0.98,NORMINV(RAND(),$C$13,0.15)))</f>
        <v/>
      </c>
      <c r="I658" s="32">
        <f>MAX(0,NORMINV(RAND(),$C$14,0.033))</f>
        <v/>
      </c>
      <c r="J658" s="33">
        <f>($C$7*$C$8/365)*F658</f>
        <v/>
      </c>
      <c r="K658" s="33">
        <f>$C$7*G658*$C$12*H658</f>
        <v/>
      </c>
      <c r="L658" s="33">
        <f>$C$7*I658*$C$15</f>
        <v/>
      </c>
      <c r="M658" s="33">
        <f>J658-K658-L658</f>
        <v/>
      </c>
    </row>
    <row r="659">
      <c r="E659" s="20" t="n">
        <v>651</v>
      </c>
      <c r="F659" s="32">
        <f>MAX(0.03,MIN(0.18,NORMINV(RAND(),$C$9,$C$10)))</f>
        <v/>
      </c>
      <c r="G659" s="32">
        <f>MAX(0.02,MIN(0.9,NORMINV(RAND(),$C$11,0.10)))</f>
        <v/>
      </c>
      <c r="H659" s="32">
        <f>MAX(0.02,MIN(0.98,NORMINV(RAND(),$C$13,0.15)))</f>
        <v/>
      </c>
      <c r="I659" s="32">
        <f>MAX(0,NORMINV(RAND(),$C$14,0.033))</f>
        <v/>
      </c>
      <c r="J659" s="33">
        <f>($C$7*$C$8/365)*F659</f>
        <v/>
      </c>
      <c r="K659" s="33">
        <f>$C$7*G659*$C$12*H659</f>
        <v/>
      </c>
      <c r="L659" s="33">
        <f>$C$7*I659*$C$15</f>
        <v/>
      </c>
      <c r="M659" s="33">
        <f>J659-K659-L659</f>
        <v/>
      </c>
    </row>
    <row r="660">
      <c r="E660" s="20" t="n">
        <v>652</v>
      </c>
      <c r="F660" s="32">
        <f>MAX(0.03,MIN(0.18,NORMINV(RAND(),$C$9,$C$10)))</f>
        <v/>
      </c>
      <c r="G660" s="32">
        <f>MAX(0.02,MIN(0.9,NORMINV(RAND(),$C$11,0.10)))</f>
        <v/>
      </c>
      <c r="H660" s="32">
        <f>MAX(0.02,MIN(0.98,NORMINV(RAND(),$C$13,0.15)))</f>
        <v/>
      </c>
      <c r="I660" s="32">
        <f>MAX(0,NORMINV(RAND(),$C$14,0.033))</f>
        <v/>
      </c>
      <c r="J660" s="33">
        <f>($C$7*$C$8/365)*F660</f>
        <v/>
      </c>
      <c r="K660" s="33">
        <f>$C$7*G660*$C$12*H660</f>
        <v/>
      </c>
      <c r="L660" s="33">
        <f>$C$7*I660*$C$15</f>
        <v/>
      </c>
      <c r="M660" s="33">
        <f>J660-K660-L660</f>
        <v/>
      </c>
    </row>
    <row r="661">
      <c r="E661" s="20" t="n">
        <v>653</v>
      </c>
      <c r="F661" s="32">
        <f>MAX(0.03,MIN(0.18,NORMINV(RAND(),$C$9,$C$10)))</f>
        <v/>
      </c>
      <c r="G661" s="32">
        <f>MAX(0.02,MIN(0.9,NORMINV(RAND(),$C$11,0.10)))</f>
        <v/>
      </c>
      <c r="H661" s="32">
        <f>MAX(0.02,MIN(0.98,NORMINV(RAND(),$C$13,0.15)))</f>
        <v/>
      </c>
      <c r="I661" s="32">
        <f>MAX(0,NORMINV(RAND(),$C$14,0.033))</f>
        <v/>
      </c>
      <c r="J661" s="33">
        <f>($C$7*$C$8/365)*F661</f>
        <v/>
      </c>
      <c r="K661" s="33">
        <f>$C$7*G661*$C$12*H661</f>
        <v/>
      </c>
      <c r="L661" s="33">
        <f>$C$7*I661*$C$15</f>
        <v/>
      </c>
      <c r="M661" s="33">
        <f>J661-K661-L661</f>
        <v/>
      </c>
    </row>
    <row r="662">
      <c r="E662" s="20" t="n">
        <v>654</v>
      </c>
      <c r="F662" s="32">
        <f>MAX(0.03,MIN(0.18,NORMINV(RAND(),$C$9,$C$10)))</f>
        <v/>
      </c>
      <c r="G662" s="32">
        <f>MAX(0.02,MIN(0.9,NORMINV(RAND(),$C$11,0.10)))</f>
        <v/>
      </c>
      <c r="H662" s="32">
        <f>MAX(0.02,MIN(0.98,NORMINV(RAND(),$C$13,0.15)))</f>
        <v/>
      </c>
      <c r="I662" s="32">
        <f>MAX(0,NORMINV(RAND(),$C$14,0.033))</f>
        <v/>
      </c>
      <c r="J662" s="33">
        <f>($C$7*$C$8/365)*F662</f>
        <v/>
      </c>
      <c r="K662" s="33">
        <f>$C$7*G662*$C$12*H662</f>
        <v/>
      </c>
      <c r="L662" s="33">
        <f>$C$7*I662*$C$15</f>
        <v/>
      </c>
      <c r="M662" s="33">
        <f>J662-K662-L662</f>
        <v/>
      </c>
    </row>
    <row r="663">
      <c r="E663" s="20" t="n">
        <v>655</v>
      </c>
      <c r="F663" s="32">
        <f>MAX(0.03,MIN(0.18,NORMINV(RAND(),$C$9,$C$10)))</f>
        <v/>
      </c>
      <c r="G663" s="32">
        <f>MAX(0.02,MIN(0.9,NORMINV(RAND(),$C$11,0.10)))</f>
        <v/>
      </c>
      <c r="H663" s="32">
        <f>MAX(0.02,MIN(0.98,NORMINV(RAND(),$C$13,0.15)))</f>
        <v/>
      </c>
      <c r="I663" s="32">
        <f>MAX(0,NORMINV(RAND(),$C$14,0.033))</f>
        <v/>
      </c>
      <c r="J663" s="33">
        <f>($C$7*$C$8/365)*F663</f>
        <v/>
      </c>
      <c r="K663" s="33">
        <f>$C$7*G663*$C$12*H663</f>
        <v/>
      </c>
      <c r="L663" s="33">
        <f>$C$7*I663*$C$15</f>
        <v/>
      </c>
      <c r="M663" s="33">
        <f>J663-K663-L663</f>
        <v/>
      </c>
    </row>
    <row r="664">
      <c r="E664" s="20" t="n">
        <v>656</v>
      </c>
      <c r="F664" s="32">
        <f>MAX(0.03,MIN(0.18,NORMINV(RAND(),$C$9,$C$10)))</f>
        <v/>
      </c>
      <c r="G664" s="32">
        <f>MAX(0.02,MIN(0.9,NORMINV(RAND(),$C$11,0.10)))</f>
        <v/>
      </c>
      <c r="H664" s="32">
        <f>MAX(0.02,MIN(0.98,NORMINV(RAND(),$C$13,0.15)))</f>
        <v/>
      </c>
      <c r="I664" s="32">
        <f>MAX(0,NORMINV(RAND(),$C$14,0.033))</f>
        <v/>
      </c>
      <c r="J664" s="33">
        <f>($C$7*$C$8/365)*F664</f>
        <v/>
      </c>
      <c r="K664" s="33">
        <f>$C$7*G664*$C$12*H664</f>
        <v/>
      </c>
      <c r="L664" s="33">
        <f>$C$7*I664*$C$15</f>
        <v/>
      </c>
      <c r="M664" s="33">
        <f>J664-K664-L664</f>
        <v/>
      </c>
    </row>
    <row r="665">
      <c r="E665" s="20" t="n">
        <v>657</v>
      </c>
      <c r="F665" s="32">
        <f>MAX(0.03,MIN(0.18,NORMINV(RAND(),$C$9,$C$10)))</f>
        <v/>
      </c>
      <c r="G665" s="32">
        <f>MAX(0.02,MIN(0.9,NORMINV(RAND(),$C$11,0.10)))</f>
        <v/>
      </c>
      <c r="H665" s="32">
        <f>MAX(0.02,MIN(0.98,NORMINV(RAND(),$C$13,0.15)))</f>
        <v/>
      </c>
      <c r="I665" s="32">
        <f>MAX(0,NORMINV(RAND(),$C$14,0.033))</f>
        <v/>
      </c>
      <c r="J665" s="33">
        <f>($C$7*$C$8/365)*F665</f>
        <v/>
      </c>
      <c r="K665" s="33">
        <f>$C$7*G665*$C$12*H665</f>
        <v/>
      </c>
      <c r="L665" s="33">
        <f>$C$7*I665*$C$15</f>
        <v/>
      </c>
      <c r="M665" s="33">
        <f>J665-K665-L665</f>
        <v/>
      </c>
    </row>
    <row r="666">
      <c r="E666" s="20" t="n">
        <v>658</v>
      </c>
      <c r="F666" s="32">
        <f>MAX(0.03,MIN(0.18,NORMINV(RAND(),$C$9,$C$10)))</f>
        <v/>
      </c>
      <c r="G666" s="32">
        <f>MAX(0.02,MIN(0.9,NORMINV(RAND(),$C$11,0.10)))</f>
        <v/>
      </c>
      <c r="H666" s="32">
        <f>MAX(0.02,MIN(0.98,NORMINV(RAND(),$C$13,0.15)))</f>
        <v/>
      </c>
      <c r="I666" s="32">
        <f>MAX(0,NORMINV(RAND(),$C$14,0.033))</f>
        <v/>
      </c>
      <c r="J666" s="33">
        <f>($C$7*$C$8/365)*F666</f>
        <v/>
      </c>
      <c r="K666" s="33">
        <f>$C$7*G666*$C$12*H666</f>
        <v/>
      </c>
      <c r="L666" s="33">
        <f>$C$7*I666*$C$15</f>
        <v/>
      </c>
      <c r="M666" s="33">
        <f>J666-K666-L666</f>
        <v/>
      </c>
    </row>
    <row r="667">
      <c r="E667" s="20" t="n">
        <v>659</v>
      </c>
      <c r="F667" s="32">
        <f>MAX(0.03,MIN(0.18,NORMINV(RAND(),$C$9,$C$10)))</f>
        <v/>
      </c>
      <c r="G667" s="32">
        <f>MAX(0.02,MIN(0.9,NORMINV(RAND(),$C$11,0.10)))</f>
        <v/>
      </c>
      <c r="H667" s="32">
        <f>MAX(0.02,MIN(0.98,NORMINV(RAND(),$C$13,0.15)))</f>
        <v/>
      </c>
      <c r="I667" s="32">
        <f>MAX(0,NORMINV(RAND(),$C$14,0.033))</f>
        <v/>
      </c>
      <c r="J667" s="33">
        <f>($C$7*$C$8/365)*F667</f>
        <v/>
      </c>
      <c r="K667" s="33">
        <f>$C$7*G667*$C$12*H667</f>
        <v/>
      </c>
      <c r="L667" s="33">
        <f>$C$7*I667*$C$15</f>
        <v/>
      </c>
      <c r="M667" s="33">
        <f>J667-K667-L667</f>
        <v/>
      </c>
    </row>
    <row r="668">
      <c r="E668" s="20" t="n">
        <v>660</v>
      </c>
      <c r="F668" s="32">
        <f>MAX(0.03,MIN(0.18,NORMINV(RAND(),$C$9,$C$10)))</f>
        <v/>
      </c>
      <c r="G668" s="32">
        <f>MAX(0.02,MIN(0.9,NORMINV(RAND(),$C$11,0.10)))</f>
        <v/>
      </c>
      <c r="H668" s="32">
        <f>MAX(0.02,MIN(0.98,NORMINV(RAND(),$C$13,0.15)))</f>
        <v/>
      </c>
      <c r="I668" s="32">
        <f>MAX(0,NORMINV(RAND(),$C$14,0.033))</f>
        <v/>
      </c>
      <c r="J668" s="33">
        <f>($C$7*$C$8/365)*F668</f>
        <v/>
      </c>
      <c r="K668" s="33">
        <f>$C$7*G668*$C$12*H668</f>
        <v/>
      </c>
      <c r="L668" s="33">
        <f>$C$7*I668*$C$15</f>
        <v/>
      </c>
      <c r="M668" s="33">
        <f>J668-K668-L668</f>
        <v/>
      </c>
    </row>
    <row r="669">
      <c r="E669" s="20" t="n">
        <v>661</v>
      </c>
      <c r="F669" s="32">
        <f>MAX(0.03,MIN(0.18,NORMINV(RAND(),$C$9,$C$10)))</f>
        <v/>
      </c>
      <c r="G669" s="32">
        <f>MAX(0.02,MIN(0.9,NORMINV(RAND(),$C$11,0.10)))</f>
        <v/>
      </c>
      <c r="H669" s="32">
        <f>MAX(0.02,MIN(0.98,NORMINV(RAND(),$C$13,0.15)))</f>
        <v/>
      </c>
      <c r="I669" s="32">
        <f>MAX(0,NORMINV(RAND(),$C$14,0.033))</f>
        <v/>
      </c>
      <c r="J669" s="33">
        <f>($C$7*$C$8/365)*F669</f>
        <v/>
      </c>
      <c r="K669" s="33">
        <f>$C$7*G669*$C$12*H669</f>
        <v/>
      </c>
      <c r="L669" s="33">
        <f>$C$7*I669*$C$15</f>
        <v/>
      </c>
      <c r="M669" s="33">
        <f>J669-K669-L669</f>
        <v/>
      </c>
    </row>
    <row r="670">
      <c r="E670" s="20" t="n">
        <v>662</v>
      </c>
      <c r="F670" s="32">
        <f>MAX(0.03,MIN(0.18,NORMINV(RAND(),$C$9,$C$10)))</f>
        <v/>
      </c>
      <c r="G670" s="32">
        <f>MAX(0.02,MIN(0.9,NORMINV(RAND(),$C$11,0.10)))</f>
        <v/>
      </c>
      <c r="H670" s="32">
        <f>MAX(0.02,MIN(0.98,NORMINV(RAND(),$C$13,0.15)))</f>
        <v/>
      </c>
      <c r="I670" s="32">
        <f>MAX(0,NORMINV(RAND(),$C$14,0.033))</f>
        <v/>
      </c>
      <c r="J670" s="33">
        <f>($C$7*$C$8/365)*F670</f>
        <v/>
      </c>
      <c r="K670" s="33">
        <f>$C$7*G670*$C$12*H670</f>
        <v/>
      </c>
      <c r="L670" s="33">
        <f>$C$7*I670*$C$15</f>
        <v/>
      </c>
      <c r="M670" s="33">
        <f>J670-K670-L670</f>
        <v/>
      </c>
    </row>
    <row r="671">
      <c r="E671" s="20" t="n">
        <v>663</v>
      </c>
      <c r="F671" s="32">
        <f>MAX(0.03,MIN(0.18,NORMINV(RAND(),$C$9,$C$10)))</f>
        <v/>
      </c>
      <c r="G671" s="32">
        <f>MAX(0.02,MIN(0.9,NORMINV(RAND(),$C$11,0.10)))</f>
        <v/>
      </c>
      <c r="H671" s="32">
        <f>MAX(0.02,MIN(0.98,NORMINV(RAND(),$C$13,0.15)))</f>
        <v/>
      </c>
      <c r="I671" s="32">
        <f>MAX(0,NORMINV(RAND(),$C$14,0.033))</f>
        <v/>
      </c>
      <c r="J671" s="33">
        <f>($C$7*$C$8/365)*F671</f>
        <v/>
      </c>
      <c r="K671" s="33">
        <f>$C$7*G671*$C$12*H671</f>
        <v/>
      </c>
      <c r="L671" s="33">
        <f>$C$7*I671*$C$15</f>
        <v/>
      </c>
      <c r="M671" s="33">
        <f>J671-K671-L671</f>
        <v/>
      </c>
    </row>
    <row r="672">
      <c r="E672" s="20" t="n">
        <v>664</v>
      </c>
      <c r="F672" s="32">
        <f>MAX(0.03,MIN(0.18,NORMINV(RAND(),$C$9,$C$10)))</f>
        <v/>
      </c>
      <c r="G672" s="32">
        <f>MAX(0.02,MIN(0.9,NORMINV(RAND(),$C$11,0.10)))</f>
        <v/>
      </c>
      <c r="H672" s="32">
        <f>MAX(0.02,MIN(0.98,NORMINV(RAND(),$C$13,0.15)))</f>
        <v/>
      </c>
      <c r="I672" s="32">
        <f>MAX(0,NORMINV(RAND(),$C$14,0.033))</f>
        <v/>
      </c>
      <c r="J672" s="33">
        <f>($C$7*$C$8/365)*F672</f>
        <v/>
      </c>
      <c r="K672" s="33">
        <f>$C$7*G672*$C$12*H672</f>
        <v/>
      </c>
      <c r="L672" s="33">
        <f>$C$7*I672*$C$15</f>
        <v/>
      </c>
      <c r="M672" s="33">
        <f>J672-K672-L672</f>
        <v/>
      </c>
    </row>
    <row r="673">
      <c r="E673" s="20" t="n">
        <v>665</v>
      </c>
      <c r="F673" s="32">
        <f>MAX(0.03,MIN(0.18,NORMINV(RAND(),$C$9,$C$10)))</f>
        <v/>
      </c>
      <c r="G673" s="32">
        <f>MAX(0.02,MIN(0.9,NORMINV(RAND(),$C$11,0.10)))</f>
        <v/>
      </c>
      <c r="H673" s="32">
        <f>MAX(0.02,MIN(0.98,NORMINV(RAND(),$C$13,0.15)))</f>
        <v/>
      </c>
      <c r="I673" s="32">
        <f>MAX(0,NORMINV(RAND(),$C$14,0.033))</f>
        <v/>
      </c>
      <c r="J673" s="33">
        <f>($C$7*$C$8/365)*F673</f>
        <v/>
      </c>
      <c r="K673" s="33">
        <f>$C$7*G673*$C$12*H673</f>
        <v/>
      </c>
      <c r="L673" s="33">
        <f>$C$7*I673*$C$15</f>
        <v/>
      </c>
      <c r="M673" s="33">
        <f>J673-K673-L673</f>
        <v/>
      </c>
    </row>
    <row r="674">
      <c r="E674" s="20" t="n">
        <v>666</v>
      </c>
      <c r="F674" s="32">
        <f>MAX(0.03,MIN(0.18,NORMINV(RAND(),$C$9,$C$10)))</f>
        <v/>
      </c>
      <c r="G674" s="32">
        <f>MAX(0.02,MIN(0.9,NORMINV(RAND(),$C$11,0.10)))</f>
        <v/>
      </c>
      <c r="H674" s="32">
        <f>MAX(0.02,MIN(0.98,NORMINV(RAND(),$C$13,0.15)))</f>
        <v/>
      </c>
      <c r="I674" s="32">
        <f>MAX(0,NORMINV(RAND(),$C$14,0.033))</f>
        <v/>
      </c>
      <c r="J674" s="33">
        <f>($C$7*$C$8/365)*F674</f>
        <v/>
      </c>
      <c r="K674" s="33">
        <f>$C$7*G674*$C$12*H674</f>
        <v/>
      </c>
      <c r="L674" s="33">
        <f>$C$7*I674*$C$15</f>
        <v/>
      </c>
      <c r="M674" s="33">
        <f>J674-K674-L674</f>
        <v/>
      </c>
    </row>
    <row r="675">
      <c r="E675" s="20" t="n">
        <v>667</v>
      </c>
      <c r="F675" s="32">
        <f>MAX(0.03,MIN(0.18,NORMINV(RAND(),$C$9,$C$10)))</f>
        <v/>
      </c>
      <c r="G675" s="32">
        <f>MAX(0.02,MIN(0.9,NORMINV(RAND(),$C$11,0.10)))</f>
        <v/>
      </c>
      <c r="H675" s="32">
        <f>MAX(0.02,MIN(0.98,NORMINV(RAND(),$C$13,0.15)))</f>
        <v/>
      </c>
      <c r="I675" s="32">
        <f>MAX(0,NORMINV(RAND(),$C$14,0.033))</f>
        <v/>
      </c>
      <c r="J675" s="33">
        <f>($C$7*$C$8/365)*F675</f>
        <v/>
      </c>
      <c r="K675" s="33">
        <f>$C$7*G675*$C$12*H675</f>
        <v/>
      </c>
      <c r="L675" s="33">
        <f>$C$7*I675*$C$15</f>
        <v/>
      </c>
      <c r="M675" s="33">
        <f>J675-K675-L675</f>
        <v/>
      </c>
    </row>
    <row r="676">
      <c r="E676" s="20" t="n">
        <v>668</v>
      </c>
      <c r="F676" s="32">
        <f>MAX(0.03,MIN(0.18,NORMINV(RAND(),$C$9,$C$10)))</f>
        <v/>
      </c>
      <c r="G676" s="32">
        <f>MAX(0.02,MIN(0.9,NORMINV(RAND(),$C$11,0.10)))</f>
        <v/>
      </c>
      <c r="H676" s="32">
        <f>MAX(0.02,MIN(0.98,NORMINV(RAND(),$C$13,0.15)))</f>
        <v/>
      </c>
      <c r="I676" s="32">
        <f>MAX(0,NORMINV(RAND(),$C$14,0.033))</f>
        <v/>
      </c>
      <c r="J676" s="33">
        <f>($C$7*$C$8/365)*F676</f>
        <v/>
      </c>
      <c r="K676" s="33">
        <f>$C$7*G676*$C$12*H676</f>
        <v/>
      </c>
      <c r="L676" s="33">
        <f>$C$7*I676*$C$15</f>
        <v/>
      </c>
      <c r="M676" s="33">
        <f>J676-K676-L676</f>
        <v/>
      </c>
    </row>
    <row r="677">
      <c r="E677" s="20" t="n">
        <v>669</v>
      </c>
      <c r="F677" s="32">
        <f>MAX(0.03,MIN(0.18,NORMINV(RAND(),$C$9,$C$10)))</f>
        <v/>
      </c>
      <c r="G677" s="32">
        <f>MAX(0.02,MIN(0.9,NORMINV(RAND(),$C$11,0.10)))</f>
        <v/>
      </c>
      <c r="H677" s="32">
        <f>MAX(0.02,MIN(0.98,NORMINV(RAND(),$C$13,0.15)))</f>
        <v/>
      </c>
      <c r="I677" s="32">
        <f>MAX(0,NORMINV(RAND(),$C$14,0.033))</f>
        <v/>
      </c>
      <c r="J677" s="33">
        <f>($C$7*$C$8/365)*F677</f>
        <v/>
      </c>
      <c r="K677" s="33">
        <f>$C$7*G677*$C$12*H677</f>
        <v/>
      </c>
      <c r="L677" s="33">
        <f>$C$7*I677*$C$15</f>
        <v/>
      </c>
      <c r="M677" s="33">
        <f>J677-K677-L677</f>
        <v/>
      </c>
    </row>
    <row r="678">
      <c r="E678" s="20" t="n">
        <v>670</v>
      </c>
      <c r="F678" s="32">
        <f>MAX(0.03,MIN(0.18,NORMINV(RAND(),$C$9,$C$10)))</f>
        <v/>
      </c>
      <c r="G678" s="32">
        <f>MAX(0.02,MIN(0.9,NORMINV(RAND(),$C$11,0.10)))</f>
        <v/>
      </c>
      <c r="H678" s="32">
        <f>MAX(0.02,MIN(0.98,NORMINV(RAND(),$C$13,0.15)))</f>
        <v/>
      </c>
      <c r="I678" s="32">
        <f>MAX(0,NORMINV(RAND(),$C$14,0.033))</f>
        <v/>
      </c>
      <c r="J678" s="33">
        <f>($C$7*$C$8/365)*F678</f>
        <v/>
      </c>
      <c r="K678" s="33">
        <f>$C$7*G678*$C$12*H678</f>
        <v/>
      </c>
      <c r="L678" s="33">
        <f>$C$7*I678*$C$15</f>
        <v/>
      </c>
      <c r="M678" s="33">
        <f>J678-K678-L678</f>
        <v/>
      </c>
    </row>
    <row r="679">
      <c r="E679" s="20" t="n">
        <v>671</v>
      </c>
      <c r="F679" s="32">
        <f>MAX(0.03,MIN(0.18,NORMINV(RAND(),$C$9,$C$10)))</f>
        <v/>
      </c>
      <c r="G679" s="32">
        <f>MAX(0.02,MIN(0.9,NORMINV(RAND(),$C$11,0.10)))</f>
        <v/>
      </c>
      <c r="H679" s="32">
        <f>MAX(0.02,MIN(0.98,NORMINV(RAND(),$C$13,0.15)))</f>
        <v/>
      </c>
      <c r="I679" s="32">
        <f>MAX(0,NORMINV(RAND(),$C$14,0.033))</f>
        <v/>
      </c>
      <c r="J679" s="33">
        <f>($C$7*$C$8/365)*F679</f>
        <v/>
      </c>
      <c r="K679" s="33">
        <f>$C$7*G679*$C$12*H679</f>
        <v/>
      </c>
      <c r="L679" s="33">
        <f>$C$7*I679*$C$15</f>
        <v/>
      </c>
      <c r="M679" s="33">
        <f>J679-K679-L679</f>
        <v/>
      </c>
    </row>
    <row r="680">
      <c r="E680" s="20" t="n">
        <v>672</v>
      </c>
      <c r="F680" s="32">
        <f>MAX(0.03,MIN(0.18,NORMINV(RAND(),$C$9,$C$10)))</f>
        <v/>
      </c>
      <c r="G680" s="32">
        <f>MAX(0.02,MIN(0.9,NORMINV(RAND(),$C$11,0.10)))</f>
        <v/>
      </c>
      <c r="H680" s="32">
        <f>MAX(0.02,MIN(0.98,NORMINV(RAND(),$C$13,0.15)))</f>
        <v/>
      </c>
      <c r="I680" s="32">
        <f>MAX(0,NORMINV(RAND(),$C$14,0.033))</f>
        <v/>
      </c>
      <c r="J680" s="33">
        <f>($C$7*$C$8/365)*F680</f>
        <v/>
      </c>
      <c r="K680" s="33">
        <f>$C$7*G680*$C$12*H680</f>
        <v/>
      </c>
      <c r="L680" s="33">
        <f>$C$7*I680*$C$15</f>
        <v/>
      </c>
      <c r="M680" s="33">
        <f>J680-K680-L680</f>
        <v/>
      </c>
    </row>
    <row r="681">
      <c r="E681" s="20" t="n">
        <v>673</v>
      </c>
      <c r="F681" s="32">
        <f>MAX(0.03,MIN(0.18,NORMINV(RAND(),$C$9,$C$10)))</f>
        <v/>
      </c>
      <c r="G681" s="32">
        <f>MAX(0.02,MIN(0.9,NORMINV(RAND(),$C$11,0.10)))</f>
        <v/>
      </c>
      <c r="H681" s="32">
        <f>MAX(0.02,MIN(0.98,NORMINV(RAND(),$C$13,0.15)))</f>
        <v/>
      </c>
      <c r="I681" s="32">
        <f>MAX(0,NORMINV(RAND(),$C$14,0.033))</f>
        <v/>
      </c>
      <c r="J681" s="33">
        <f>($C$7*$C$8/365)*F681</f>
        <v/>
      </c>
      <c r="K681" s="33">
        <f>$C$7*G681*$C$12*H681</f>
        <v/>
      </c>
      <c r="L681" s="33">
        <f>$C$7*I681*$C$15</f>
        <v/>
      </c>
      <c r="M681" s="33">
        <f>J681-K681-L681</f>
        <v/>
      </c>
    </row>
    <row r="682">
      <c r="E682" s="20" t="n">
        <v>674</v>
      </c>
      <c r="F682" s="32">
        <f>MAX(0.03,MIN(0.18,NORMINV(RAND(),$C$9,$C$10)))</f>
        <v/>
      </c>
      <c r="G682" s="32">
        <f>MAX(0.02,MIN(0.9,NORMINV(RAND(),$C$11,0.10)))</f>
        <v/>
      </c>
      <c r="H682" s="32">
        <f>MAX(0.02,MIN(0.98,NORMINV(RAND(),$C$13,0.15)))</f>
        <v/>
      </c>
      <c r="I682" s="32">
        <f>MAX(0,NORMINV(RAND(),$C$14,0.033))</f>
        <v/>
      </c>
      <c r="J682" s="33">
        <f>($C$7*$C$8/365)*F682</f>
        <v/>
      </c>
      <c r="K682" s="33">
        <f>$C$7*G682*$C$12*H682</f>
        <v/>
      </c>
      <c r="L682" s="33">
        <f>$C$7*I682*$C$15</f>
        <v/>
      </c>
      <c r="M682" s="33">
        <f>J682-K682-L682</f>
        <v/>
      </c>
    </row>
    <row r="683">
      <c r="E683" s="20" t="n">
        <v>675</v>
      </c>
      <c r="F683" s="32">
        <f>MAX(0.03,MIN(0.18,NORMINV(RAND(),$C$9,$C$10)))</f>
        <v/>
      </c>
      <c r="G683" s="32">
        <f>MAX(0.02,MIN(0.9,NORMINV(RAND(),$C$11,0.10)))</f>
        <v/>
      </c>
      <c r="H683" s="32">
        <f>MAX(0.02,MIN(0.98,NORMINV(RAND(),$C$13,0.15)))</f>
        <v/>
      </c>
      <c r="I683" s="32">
        <f>MAX(0,NORMINV(RAND(),$C$14,0.033))</f>
        <v/>
      </c>
      <c r="J683" s="33">
        <f>($C$7*$C$8/365)*F683</f>
        <v/>
      </c>
      <c r="K683" s="33">
        <f>$C$7*G683*$C$12*H683</f>
        <v/>
      </c>
      <c r="L683" s="33">
        <f>$C$7*I683*$C$15</f>
        <v/>
      </c>
      <c r="M683" s="33">
        <f>J683-K683-L683</f>
        <v/>
      </c>
    </row>
    <row r="684">
      <c r="E684" s="20" t="n">
        <v>676</v>
      </c>
      <c r="F684" s="32">
        <f>MAX(0.03,MIN(0.18,NORMINV(RAND(),$C$9,$C$10)))</f>
        <v/>
      </c>
      <c r="G684" s="32">
        <f>MAX(0.02,MIN(0.9,NORMINV(RAND(),$C$11,0.10)))</f>
        <v/>
      </c>
      <c r="H684" s="32">
        <f>MAX(0.02,MIN(0.98,NORMINV(RAND(),$C$13,0.15)))</f>
        <v/>
      </c>
      <c r="I684" s="32">
        <f>MAX(0,NORMINV(RAND(),$C$14,0.033))</f>
        <v/>
      </c>
      <c r="J684" s="33">
        <f>($C$7*$C$8/365)*F684</f>
        <v/>
      </c>
      <c r="K684" s="33">
        <f>$C$7*G684*$C$12*H684</f>
        <v/>
      </c>
      <c r="L684" s="33">
        <f>$C$7*I684*$C$15</f>
        <v/>
      </c>
      <c r="M684" s="33">
        <f>J684-K684-L684</f>
        <v/>
      </c>
    </row>
    <row r="685">
      <c r="E685" s="20" t="n">
        <v>677</v>
      </c>
      <c r="F685" s="32">
        <f>MAX(0.03,MIN(0.18,NORMINV(RAND(),$C$9,$C$10)))</f>
        <v/>
      </c>
      <c r="G685" s="32">
        <f>MAX(0.02,MIN(0.9,NORMINV(RAND(),$C$11,0.10)))</f>
        <v/>
      </c>
      <c r="H685" s="32">
        <f>MAX(0.02,MIN(0.98,NORMINV(RAND(),$C$13,0.15)))</f>
        <v/>
      </c>
      <c r="I685" s="32">
        <f>MAX(0,NORMINV(RAND(),$C$14,0.033))</f>
        <v/>
      </c>
      <c r="J685" s="33">
        <f>($C$7*$C$8/365)*F685</f>
        <v/>
      </c>
      <c r="K685" s="33">
        <f>$C$7*G685*$C$12*H685</f>
        <v/>
      </c>
      <c r="L685" s="33">
        <f>$C$7*I685*$C$15</f>
        <v/>
      </c>
      <c r="M685" s="33">
        <f>J685-K685-L685</f>
        <v/>
      </c>
    </row>
    <row r="686">
      <c r="E686" s="20" t="n">
        <v>678</v>
      </c>
      <c r="F686" s="32">
        <f>MAX(0.03,MIN(0.18,NORMINV(RAND(),$C$9,$C$10)))</f>
        <v/>
      </c>
      <c r="G686" s="32">
        <f>MAX(0.02,MIN(0.9,NORMINV(RAND(),$C$11,0.10)))</f>
        <v/>
      </c>
      <c r="H686" s="32">
        <f>MAX(0.02,MIN(0.98,NORMINV(RAND(),$C$13,0.15)))</f>
        <v/>
      </c>
      <c r="I686" s="32">
        <f>MAX(0,NORMINV(RAND(),$C$14,0.033))</f>
        <v/>
      </c>
      <c r="J686" s="33">
        <f>($C$7*$C$8/365)*F686</f>
        <v/>
      </c>
      <c r="K686" s="33">
        <f>$C$7*G686*$C$12*H686</f>
        <v/>
      </c>
      <c r="L686" s="33">
        <f>$C$7*I686*$C$15</f>
        <v/>
      </c>
      <c r="M686" s="33">
        <f>J686-K686-L686</f>
        <v/>
      </c>
    </row>
    <row r="687">
      <c r="E687" s="20" t="n">
        <v>679</v>
      </c>
      <c r="F687" s="32">
        <f>MAX(0.03,MIN(0.18,NORMINV(RAND(),$C$9,$C$10)))</f>
        <v/>
      </c>
      <c r="G687" s="32">
        <f>MAX(0.02,MIN(0.9,NORMINV(RAND(),$C$11,0.10)))</f>
        <v/>
      </c>
      <c r="H687" s="32">
        <f>MAX(0.02,MIN(0.98,NORMINV(RAND(),$C$13,0.15)))</f>
        <v/>
      </c>
      <c r="I687" s="32">
        <f>MAX(0,NORMINV(RAND(),$C$14,0.033))</f>
        <v/>
      </c>
      <c r="J687" s="33">
        <f>($C$7*$C$8/365)*F687</f>
        <v/>
      </c>
      <c r="K687" s="33">
        <f>$C$7*G687*$C$12*H687</f>
        <v/>
      </c>
      <c r="L687" s="33">
        <f>$C$7*I687*$C$15</f>
        <v/>
      </c>
      <c r="M687" s="33">
        <f>J687-K687-L687</f>
        <v/>
      </c>
    </row>
    <row r="688">
      <c r="E688" s="20" t="n">
        <v>680</v>
      </c>
      <c r="F688" s="32">
        <f>MAX(0.03,MIN(0.18,NORMINV(RAND(),$C$9,$C$10)))</f>
        <v/>
      </c>
      <c r="G688" s="32">
        <f>MAX(0.02,MIN(0.9,NORMINV(RAND(),$C$11,0.10)))</f>
        <v/>
      </c>
      <c r="H688" s="32">
        <f>MAX(0.02,MIN(0.98,NORMINV(RAND(),$C$13,0.15)))</f>
        <v/>
      </c>
      <c r="I688" s="32">
        <f>MAX(0,NORMINV(RAND(),$C$14,0.033))</f>
        <v/>
      </c>
      <c r="J688" s="33">
        <f>($C$7*$C$8/365)*F688</f>
        <v/>
      </c>
      <c r="K688" s="33">
        <f>$C$7*G688*$C$12*H688</f>
        <v/>
      </c>
      <c r="L688" s="33">
        <f>$C$7*I688*$C$15</f>
        <v/>
      </c>
      <c r="M688" s="33">
        <f>J688-K688-L688</f>
        <v/>
      </c>
    </row>
    <row r="689">
      <c r="E689" s="20" t="n">
        <v>681</v>
      </c>
      <c r="F689" s="32">
        <f>MAX(0.03,MIN(0.18,NORMINV(RAND(),$C$9,$C$10)))</f>
        <v/>
      </c>
      <c r="G689" s="32">
        <f>MAX(0.02,MIN(0.9,NORMINV(RAND(),$C$11,0.10)))</f>
        <v/>
      </c>
      <c r="H689" s="32">
        <f>MAX(0.02,MIN(0.98,NORMINV(RAND(),$C$13,0.15)))</f>
        <v/>
      </c>
      <c r="I689" s="32">
        <f>MAX(0,NORMINV(RAND(),$C$14,0.033))</f>
        <v/>
      </c>
      <c r="J689" s="33">
        <f>($C$7*$C$8/365)*F689</f>
        <v/>
      </c>
      <c r="K689" s="33">
        <f>$C$7*G689*$C$12*H689</f>
        <v/>
      </c>
      <c r="L689" s="33">
        <f>$C$7*I689*$C$15</f>
        <v/>
      </c>
      <c r="M689" s="33">
        <f>J689-K689-L689</f>
        <v/>
      </c>
    </row>
    <row r="690">
      <c r="E690" s="20" t="n">
        <v>682</v>
      </c>
      <c r="F690" s="32">
        <f>MAX(0.03,MIN(0.18,NORMINV(RAND(),$C$9,$C$10)))</f>
        <v/>
      </c>
      <c r="G690" s="32">
        <f>MAX(0.02,MIN(0.9,NORMINV(RAND(),$C$11,0.10)))</f>
        <v/>
      </c>
      <c r="H690" s="32">
        <f>MAX(0.02,MIN(0.98,NORMINV(RAND(),$C$13,0.15)))</f>
        <v/>
      </c>
      <c r="I690" s="32">
        <f>MAX(0,NORMINV(RAND(),$C$14,0.033))</f>
        <v/>
      </c>
      <c r="J690" s="33">
        <f>($C$7*$C$8/365)*F690</f>
        <v/>
      </c>
      <c r="K690" s="33">
        <f>$C$7*G690*$C$12*H690</f>
        <v/>
      </c>
      <c r="L690" s="33">
        <f>$C$7*I690*$C$15</f>
        <v/>
      </c>
      <c r="M690" s="33">
        <f>J690-K690-L690</f>
        <v/>
      </c>
    </row>
    <row r="691">
      <c r="E691" s="20" t="n">
        <v>683</v>
      </c>
      <c r="F691" s="32">
        <f>MAX(0.03,MIN(0.18,NORMINV(RAND(),$C$9,$C$10)))</f>
        <v/>
      </c>
      <c r="G691" s="32">
        <f>MAX(0.02,MIN(0.9,NORMINV(RAND(),$C$11,0.10)))</f>
        <v/>
      </c>
      <c r="H691" s="32">
        <f>MAX(0.02,MIN(0.98,NORMINV(RAND(),$C$13,0.15)))</f>
        <v/>
      </c>
      <c r="I691" s="32">
        <f>MAX(0,NORMINV(RAND(),$C$14,0.033))</f>
        <v/>
      </c>
      <c r="J691" s="33">
        <f>($C$7*$C$8/365)*F691</f>
        <v/>
      </c>
      <c r="K691" s="33">
        <f>$C$7*G691*$C$12*H691</f>
        <v/>
      </c>
      <c r="L691" s="33">
        <f>$C$7*I691*$C$15</f>
        <v/>
      </c>
      <c r="M691" s="33">
        <f>J691-K691-L691</f>
        <v/>
      </c>
    </row>
    <row r="692">
      <c r="E692" s="20" t="n">
        <v>684</v>
      </c>
      <c r="F692" s="32">
        <f>MAX(0.03,MIN(0.18,NORMINV(RAND(),$C$9,$C$10)))</f>
        <v/>
      </c>
      <c r="G692" s="32">
        <f>MAX(0.02,MIN(0.9,NORMINV(RAND(),$C$11,0.10)))</f>
        <v/>
      </c>
      <c r="H692" s="32">
        <f>MAX(0.02,MIN(0.98,NORMINV(RAND(),$C$13,0.15)))</f>
        <v/>
      </c>
      <c r="I692" s="32">
        <f>MAX(0,NORMINV(RAND(),$C$14,0.033))</f>
        <v/>
      </c>
      <c r="J692" s="33">
        <f>($C$7*$C$8/365)*F692</f>
        <v/>
      </c>
      <c r="K692" s="33">
        <f>$C$7*G692*$C$12*H692</f>
        <v/>
      </c>
      <c r="L692" s="33">
        <f>$C$7*I692*$C$15</f>
        <v/>
      </c>
      <c r="M692" s="33">
        <f>J692-K692-L692</f>
        <v/>
      </c>
    </row>
    <row r="693">
      <c r="E693" s="20" t="n">
        <v>685</v>
      </c>
      <c r="F693" s="32">
        <f>MAX(0.03,MIN(0.18,NORMINV(RAND(),$C$9,$C$10)))</f>
        <v/>
      </c>
      <c r="G693" s="32">
        <f>MAX(0.02,MIN(0.9,NORMINV(RAND(),$C$11,0.10)))</f>
        <v/>
      </c>
      <c r="H693" s="32">
        <f>MAX(0.02,MIN(0.98,NORMINV(RAND(),$C$13,0.15)))</f>
        <v/>
      </c>
      <c r="I693" s="32">
        <f>MAX(0,NORMINV(RAND(),$C$14,0.033))</f>
        <v/>
      </c>
      <c r="J693" s="33">
        <f>($C$7*$C$8/365)*F693</f>
        <v/>
      </c>
      <c r="K693" s="33">
        <f>$C$7*G693*$C$12*H693</f>
        <v/>
      </c>
      <c r="L693" s="33">
        <f>$C$7*I693*$C$15</f>
        <v/>
      </c>
      <c r="M693" s="33">
        <f>J693-K693-L693</f>
        <v/>
      </c>
    </row>
    <row r="694">
      <c r="E694" s="20" t="n">
        <v>686</v>
      </c>
      <c r="F694" s="32">
        <f>MAX(0.03,MIN(0.18,NORMINV(RAND(),$C$9,$C$10)))</f>
        <v/>
      </c>
      <c r="G694" s="32">
        <f>MAX(0.02,MIN(0.9,NORMINV(RAND(),$C$11,0.10)))</f>
        <v/>
      </c>
      <c r="H694" s="32">
        <f>MAX(0.02,MIN(0.98,NORMINV(RAND(),$C$13,0.15)))</f>
        <v/>
      </c>
      <c r="I694" s="32">
        <f>MAX(0,NORMINV(RAND(),$C$14,0.033))</f>
        <v/>
      </c>
      <c r="J694" s="33">
        <f>($C$7*$C$8/365)*F694</f>
        <v/>
      </c>
      <c r="K694" s="33">
        <f>$C$7*G694*$C$12*H694</f>
        <v/>
      </c>
      <c r="L694" s="33">
        <f>$C$7*I694*$C$15</f>
        <v/>
      </c>
      <c r="M694" s="33">
        <f>J694-K694-L694</f>
        <v/>
      </c>
    </row>
    <row r="695">
      <c r="E695" s="20" t="n">
        <v>687</v>
      </c>
      <c r="F695" s="32">
        <f>MAX(0.03,MIN(0.18,NORMINV(RAND(),$C$9,$C$10)))</f>
        <v/>
      </c>
      <c r="G695" s="32">
        <f>MAX(0.02,MIN(0.9,NORMINV(RAND(),$C$11,0.10)))</f>
        <v/>
      </c>
      <c r="H695" s="32">
        <f>MAX(0.02,MIN(0.98,NORMINV(RAND(),$C$13,0.15)))</f>
        <v/>
      </c>
      <c r="I695" s="32">
        <f>MAX(0,NORMINV(RAND(),$C$14,0.033))</f>
        <v/>
      </c>
      <c r="J695" s="33">
        <f>($C$7*$C$8/365)*F695</f>
        <v/>
      </c>
      <c r="K695" s="33">
        <f>$C$7*G695*$C$12*H695</f>
        <v/>
      </c>
      <c r="L695" s="33">
        <f>$C$7*I695*$C$15</f>
        <v/>
      </c>
      <c r="M695" s="33">
        <f>J695-K695-L695</f>
        <v/>
      </c>
    </row>
    <row r="696">
      <c r="E696" s="20" t="n">
        <v>688</v>
      </c>
      <c r="F696" s="32">
        <f>MAX(0.03,MIN(0.18,NORMINV(RAND(),$C$9,$C$10)))</f>
        <v/>
      </c>
      <c r="G696" s="32">
        <f>MAX(0.02,MIN(0.9,NORMINV(RAND(),$C$11,0.10)))</f>
        <v/>
      </c>
      <c r="H696" s="32">
        <f>MAX(0.02,MIN(0.98,NORMINV(RAND(),$C$13,0.15)))</f>
        <v/>
      </c>
      <c r="I696" s="32">
        <f>MAX(0,NORMINV(RAND(),$C$14,0.033))</f>
        <v/>
      </c>
      <c r="J696" s="33">
        <f>($C$7*$C$8/365)*F696</f>
        <v/>
      </c>
      <c r="K696" s="33">
        <f>$C$7*G696*$C$12*H696</f>
        <v/>
      </c>
      <c r="L696" s="33">
        <f>$C$7*I696*$C$15</f>
        <v/>
      </c>
      <c r="M696" s="33">
        <f>J696-K696-L696</f>
        <v/>
      </c>
    </row>
    <row r="697">
      <c r="E697" s="20" t="n">
        <v>689</v>
      </c>
      <c r="F697" s="32">
        <f>MAX(0.03,MIN(0.18,NORMINV(RAND(),$C$9,$C$10)))</f>
        <v/>
      </c>
      <c r="G697" s="32">
        <f>MAX(0.02,MIN(0.9,NORMINV(RAND(),$C$11,0.10)))</f>
        <v/>
      </c>
      <c r="H697" s="32">
        <f>MAX(0.02,MIN(0.98,NORMINV(RAND(),$C$13,0.15)))</f>
        <v/>
      </c>
      <c r="I697" s="32">
        <f>MAX(0,NORMINV(RAND(),$C$14,0.033))</f>
        <v/>
      </c>
      <c r="J697" s="33">
        <f>($C$7*$C$8/365)*F697</f>
        <v/>
      </c>
      <c r="K697" s="33">
        <f>$C$7*G697*$C$12*H697</f>
        <v/>
      </c>
      <c r="L697" s="33">
        <f>$C$7*I697*$C$15</f>
        <v/>
      </c>
      <c r="M697" s="33">
        <f>J697-K697-L697</f>
        <v/>
      </c>
    </row>
    <row r="698">
      <c r="E698" s="20" t="n">
        <v>690</v>
      </c>
      <c r="F698" s="32">
        <f>MAX(0.03,MIN(0.18,NORMINV(RAND(),$C$9,$C$10)))</f>
        <v/>
      </c>
      <c r="G698" s="32">
        <f>MAX(0.02,MIN(0.9,NORMINV(RAND(),$C$11,0.10)))</f>
        <v/>
      </c>
      <c r="H698" s="32">
        <f>MAX(0.02,MIN(0.98,NORMINV(RAND(),$C$13,0.15)))</f>
        <v/>
      </c>
      <c r="I698" s="32">
        <f>MAX(0,NORMINV(RAND(),$C$14,0.033))</f>
        <v/>
      </c>
      <c r="J698" s="33">
        <f>($C$7*$C$8/365)*F698</f>
        <v/>
      </c>
      <c r="K698" s="33">
        <f>$C$7*G698*$C$12*H698</f>
        <v/>
      </c>
      <c r="L698" s="33">
        <f>$C$7*I698*$C$15</f>
        <v/>
      </c>
      <c r="M698" s="33">
        <f>J698-K698-L698</f>
        <v/>
      </c>
    </row>
    <row r="699">
      <c r="E699" s="20" t="n">
        <v>691</v>
      </c>
      <c r="F699" s="32">
        <f>MAX(0.03,MIN(0.18,NORMINV(RAND(),$C$9,$C$10)))</f>
        <v/>
      </c>
      <c r="G699" s="32">
        <f>MAX(0.02,MIN(0.9,NORMINV(RAND(),$C$11,0.10)))</f>
        <v/>
      </c>
      <c r="H699" s="32">
        <f>MAX(0.02,MIN(0.98,NORMINV(RAND(),$C$13,0.15)))</f>
        <v/>
      </c>
      <c r="I699" s="32">
        <f>MAX(0,NORMINV(RAND(),$C$14,0.033))</f>
        <v/>
      </c>
      <c r="J699" s="33">
        <f>($C$7*$C$8/365)*F699</f>
        <v/>
      </c>
      <c r="K699" s="33">
        <f>$C$7*G699*$C$12*H699</f>
        <v/>
      </c>
      <c r="L699" s="33">
        <f>$C$7*I699*$C$15</f>
        <v/>
      </c>
      <c r="M699" s="33">
        <f>J699-K699-L699</f>
        <v/>
      </c>
    </row>
    <row r="700">
      <c r="E700" s="20" t="n">
        <v>692</v>
      </c>
      <c r="F700" s="32">
        <f>MAX(0.03,MIN(0.18,NORMINV(RAND(),$C$9,$C$10)))</f>
        <v/>
      </c>
      <c r="G700" s="32">
        <f>MAX(0.02,MIN(0.9,NORMINV(RAND(),$C$11,0.10)))</f>
        <v/>
      </c>
      <c r="H700" s="32">
        <f>MAX(0.02,MIN(0.98,NORMINV(RAND(),$C$13,0.15)))</f>
        <v/>
      </c>
      <c r="I700" s="32">
        <f>MAX(0,NORMINV(RAND(),$C$14,0.033))</f>
        <v/>
      </c>
      <c r="J700" s="33">
        <f>($C$7*$C$8/365)*F700</f>
        <v/>
      </c>
      <c r="K700" s="33">
        <f>$C$7*G700*$C$12*H700</f>
        <v/>
      </c>
      <c r="L700" s="33">
        <f>$C$7*I700*$C$15</f>
        <v/>
      </c>
      <c r="M700" s="33">
        <f>J700-K700-L700</f>
        <v/>
      </c>
    </row>
    <row r="701">
      <c r="E701" s="20" t="n">
        <v>693</v>
      </c>
      <c r="F701" s="32">
        <f>MAX(0.03,MIN(0.18,NORMINV(RAND(),$C$9,$C$10)))</f>
        <v/>
      </c>
      <c r="G701" s="32">
        <f>MAX(0.02,MIN(0.9,NORMINV(RAND(),$C$11,0.10)))</f>
        <v/>
      </c>
      <c r="H701" s="32">
        <f>MAX(0.02,MIN(0.98,NORMINV(RAND(),$C$13,0.15)))</f>
        <v/>
      </c>
      <c r="I701" s="32">
        <f>MAX(0,NORMINV(RAND(),$C$14,0.033))</f>
        <v/>
      </c>
      <c r="J701" s="33">
        <f>($C$7*$C$8/365)*F701</f>
        <v/>
      </c>
      <c r="K701" s="33">
        <f>$C$7*G701*$C$12*H701</f>
        <v/>
      </c>
      <c r="L701" s="33">
        <f>$C$7*I701*$C$15</f>
        <v/>
      </c>
      <c r="M701" s="33">
        <f>J701-K701-L701</f>
        <v/>
      </c>
    </row>
    <row r="702">
      <c r="E702" s="20" t="n">
        <v>694</v>
      </c>
      <c r="F702" s="32">
        <f>MAX(0.03,MIN(0.18,NORMINV(RAND(),$C$9,$C$10)))</f>
        <v/>
      </c>
      <c r="G702" s="32">
        <f>MAX(0.02,MIN(0.9,NORMINV(RAND(),$C$11,0.10)))</f>
        <v/>
      </c>
      <c r="H702" s="32">
        <f>MAX(0.02,MIN(0.98,NORMINV(RAND(),$C$13,0.15)))</f>
        <v/>
      </c>
      <c r="I702" s="32">
        <f>MAX(0,NORMINV(RAND(),$C$14,0.033))</f>
        <v/>
      </c>
      <c r="J702" s="33">
        <f>($C$7*$C$8/365)*F702</f>
        <v/>
      </c>
      <c r="K702" s="33">
        <f>$C$7*G702*$C$12*H702</f>
        <v/>
      </c>
      <c r="L702" s="33">
        <f>$C$7*I702*$C$15</f>
        <v/>
      </c>
      <c r="M702" s="33">
        <f>J702-K702-L702</f>
        <v/>
      </c>
    </row>
    <row r="703">
      <c r="E703" s="20" t="n">
        <v>695</v>
      </c>
      <c r="F703" s="32">
        <f>MAX(0.03,MIN(0.18,NORMINV(RAND(),$C$9,$C$10)))</f>
        <v/>
      </c>
      <c r="G703" s="32">
        <f>MAX(0.02,MIN(0.9,NORMINV(RAND(),$C$11,0.10)))</f>
        <v/>
      </c>
      <c r="H703" s="32">
        <f>MAX(0.02,MIN(0.98,NORMINV(RAND(),$C$13,0.15)))</f>
        <v/>
      </c>
      <c r="I703" s="32">
        <f>MAX(0,NORMINV(RAND(),$C$14,0.033))</f>
        <v/>
      </c>
      <c r="J703" s="33">
        <f>($C$7*$C$8/365)*F703</f>
        <v/>
      </c>
      <c r="K703" s="33">
        <f>$C$7*G703*$C$12*H703</f>
        <v/>
      </c>
      <c r="L703" s="33">
        <f>$C$7*I703*$C$15</f>
        <v/>
      </c>
      <c r="M703" s="33">
        <f>J703-K703-L703</f>
        <v/>
      </c>
    </row>
    <row r="704">
      <c r="E704" s="20" t="n">
        <v>696</v>
      </c>
      <c r="F704" s="32">
        <f>MAX(0.03,MIN(0.18,NORMINV(RAND(),$C$9,$C$10)))</f>
        <v/>
      </c>
      <c r="G704" s="32">
        <f>MAX(0.02,MIN(0.9,NORMINV(RAND(),$C$11,0.10)))</f>
        <v/>
      </c>
      <c r="H704" s="32">
        <f>MAX(0.02,MIN(0.98,NORMINV(RAND(),$C$13,0.15)))</f>
        <v/>
      </c>
      <c r="I704" s="32">
        <f>MAX(0,NORMINV(RAND(),$C$14,0.033))</f>
        <v/>
      </c>
      <c r="J704" s="33">
        <f>($C$7*$C$8/365)*F704</f>
        <v/>
      </c>
      <c r="K704" s="33">
        <f>$C$7*G704*$C$12*H704</f>
        <v/>
      </c>
      <c r="L704" s="33">
        <f>$C$7*I704*$C$15</f>
        <v/>
      </c>
      <c r="M704" s="33">
        <f>J704-K704-L704</f>
        <v/>
      </c>
    </row>
    <row r="705">
      <c r="E705" s="20" t="n">
        <v>697</v>
      </c>
      <c r="F705" s="32">
        <f>MAX(0.03,MIN(0.18,NORMINV(RAND(),$C$9,$C$10)))</f>
        <v/>
      </c>
      <c r="G705" s="32">
        <f>MAX(0.02,MIN(0.9,NORMINV(RAND(),$C$11,0.10)))</f>
        <v/>
      </c>
      <c r="H705" s="32">
        <f>MAX(0.02,MIN(0.98,NORMINV(RAND(),$C$13,0.15)))</f>
        <v/>
      </c>
      <c r="I705" s="32">
        <f>MAX(0,NORMINV(RAND(),$C$14,0.033))</f>
        <v/>
      </c>
      <c r="J705" s="33">
        <f>($C$7*$C$8/365)*F705</f>
        <v/>
      </c>
      <c r="K705" s="33">
        <f>$C$7*G705*$C$12*H705</f>
        <v/>
      </c>
      <c r="L705" s="33">
        <f>$C$7*I705*$C$15</f>
        <v/>
      </c>
      <c r="M705" s="33">
        <f>J705-K705-L705</f>
        <v/>
      </c>
    </row>
    <row r="706">
      <c r="E706" s="20" t="n">
        <v>698</v>
      </c>
      <c r="F706" s="32">
        <f>MAX(0.03,MIN(0.18,NORMINV(RAND(),$C$9,$C$10)))</f>
        <v/>
      </c>
      <c r="G706" s="32">
        <f>MAX(0.02,MIN(0.9,NORMINV(RAND(),$C$11,0.10)))</f>
        <v/>
      </c>
      <c r="H706" s="32">
        <f>MAX(0.02,MIN(0.98,NORMINV(RAND(),$C$13,0.15)))</f>
        <v/>
      </c>
      <c r="I706" s="32">
        <f>MAX(0,NORMINV(RAND(),$C$14,0.033))</f>
        <v/>
      </c>
      <c r="J706" s="33">
        <f>($C$7*$C$8/365)*F706</f>
        <v/>
      </c>
      <c r="K706" s="33">
        <f>$C$7*G706*$C$12*H706</f>
        <v/>
      </c>
      <c r="L706" s="33">
        <f>$C$7*I706*$C$15</f>
        <v/>
      </c>
      <c r="M706" s="33">
        <f>J706-K706-L706</f>
        <v/>
      </c>
    </row>
    <row r="707">
      <c r="E707" s="20" t="n">
        <v>699</v>
      </c>
      <c r="F707" s="32">
        <f>MAX(0.03,MIN(0.18,NORMINV(RAND(),$C$9,$C$10)))</f>
        <v/>
      </c>
      <c r="G707" s="32">
        <f>MAX(0.02,MIN(0.9,NORMINV(RAND(),$C$11,0.10)))</f>
        <v/>
      </c>
      <c r="H707" s="32">
        <f>MAX(0.02,MIN(0.98,NORMINV(RAND(),$C$13,0.15)))</f>
        <v/>
      </c>
      <c r="I707" s="32">
        <f>MAX(0,NORMINV(RAND(),$C$14,0.033))</f>
        <v/>
      </c>
      <c r="J707" s="33">
        <f>($C$7*$C$8/365)*F707</f>
        <v/>
      </c>
      <c r="K707" s="33">
        <f>$C$7*G707*$C$12*H707</f>
        <v/>
      </c>
      <c r="L707" s="33">
        <f>$C$7*I707*$C$15</f>
        <v/>
      </c>
      <c r="M707" s="33">
        <f>J707-K707-L707</f>
        <v/>
      </c>
    </row>
    <row r="708">
      <c r="E708" s="20" t="n">
        <v>700</v>
      </c>
      <c r="F708" s="32">
        <f>MAX(0.03,MIN(0.18,NORMINV(RAND(),$C$9,$C$10)))</f>
        <v/>
      </c>
      <c r="G708" s="32">
        <f>MAX(0.02,MIN(0.9,NORMINV(RAND(),$C$11,0.10)))</f>
        <v/>
      </c>
      <c r="H708" s="32">
        <f>MAX(0.02,MIN(0.98,NORMINV(RAND(),$C$13,0.15)))</f>
        <v/>
      </c>
      <c r="I708" s="32">
        <f>MAX(0,NORMINV(RAND(),$C$14,0.033))</f>
        <v/>
      </c>
      <c r="J708" s="33">
        <f>($C$7*$C$8/365)*F708</f>
        <v/>
      </c>
      <c r="K708" s="33">
        <f>$C$7*G708*$C$12*H708</f>
        <v/>
      </c>
      <c r="L708" s="33">
        <f>$C$7*I708*$C$15</f>
        <v/>
      </c>
      <c r="M708" s="33">
        <f>J708-K708-L708</f>
        <v/>
      </c>
    </row>
    <row r="709">
      <c r="E709" s="20" t="n">
        <v>701</v>
      </c>
      <c r="F709" s="32">
        <f>MAX(0.03,MIN(0.18,NORMINV(RAND(),$C$9,$C$10)))</f>
        <v/>
      </c>
      <c r="G709" s="32">
        <f>MAX(0.02,MIN(0.9,NORMINV(RAND(),$C$11,0.10)))</f>
        <v/>
      </c>
      <c r="H709" s="32">
        <f>MAX(0.02,MIN(0.98,NORMINV(RAND(),$C$13,0.15)))</f>
        <v/>
      </c>
      <c r="I709" s="32">
        <f>MAX(0,NORMINV(RAND(),$C$14,0.033))</f>
        <v/>
      </c>
      <c r="J709" s="33">
        <f>($C$7*$C$8/365)*F709</f>
        <v/>
      </c>
      <c r="K709" s="33">
        <f>$C$7*G709*$C$12*H709</f>
        <v/>
      </c>
      <c r="L709" s="33">
        <f>$C$7*I709*$C$15</f>
        <v/>
      </c>
      <c r="M709" s="33">
        <f>J709-K709-L709</f>
        <v/>
      </c>
    </row>
    <row r="710">
      <c r="E710" s="20" t="n">
        <v>702</v>
      </c>
      <c r="F710" s="32">
        <f>MAX(0.03,MIN(0.18,NORMINV(RAND(),$C$9,$C$10)))</f>
        <v/>
      </c>
      <c r="G710" s="32">
        <f>MAX(0.02,MIN(0.9,NORMINV(RAND(),$C$11,0.10)))</f>
        <v/>
      </c>
      <c r="H710" s="32">
        <f>MAX(0.02,MIN(0.98,NORMINV(RAND(),$C$13,0.15)))</f>
        <v/>
      </c>
      <c r="I710" s="32">
        <f>MAX(0,NORMINV(RAND(),$C$14,0.033))</f>
        <v/>
      </c>
      <c r="J710" s="33">
        <f>($C$7*$C$8/365)*F710</f>
        <v/>
      </c>
      <c r="K710" s="33">
        <f>$C$7*G710*$C$12*H710</f>
        <v/>
      </c>
      <c r="L710" s="33">
        <f>$C$7*I710*$C$15</f>
        <v/>
      </c>
      <c r="M710" s="33">
        <f>J710-K710-L710</f>
        <v/>
      </c>
    </row>
    <row r="711">
      <c r="E711" s="20" t="n">
        <v>703</v>
      </c>
      <c r="F711" s="32">
        <f>MAX(0.03,MIN(0.18,NORMINV(RAND(),$C$9,$C$10)))</f>
        <v/>
      </c>
      <c r="G711" s="32">
        <f>MAX(0.02,MIN(0.9,NORMINV(RAND(),$C$11,0.10)))</f>
        <v/>
      </c>
      <c r="H711" s="32">
        <f>MAX(0.02,MIN(0.98,NORMINV(RAND(),$C$13,0.15)))</f>
        <v/>
      </c>
      <c r="I711" s="32">
        <f>MAX(0,NORMINV(RAND(),$C$14,0.033))</f>
        <v/>
      </c>
      <c r="J711" s="33">
        <f>($C$7*$C$8/365)*F711</f>
        <v/>
      </c>
      <c r="K711" s="33">
        <f>$C$7*G711*$C$12*H711</f>
        <v/>
      </c>
      <c r="L711" s="33">
        <f>$C$7*I711*$C$15</f>
        <v/>
      </c>
      <c r="M711" s="33">
        <f>J711-K711-L711</f>
        <v/>
      </c>
    </row>
    <row r="712">
      <c r="E712" s="20" t="n">
        <v>704</v>
      </c>
      <c r="F712" s="32">
        <f>MAX(0.03,MIN(0.18,NORMINV(RAND(),$C$9,$C$10)))</f>
        <v/>
      </c>
      <c r="G712" s="32">
        <f>MAX(0.02,MIN(0.9,NORMINV(RAND(),$C$11,0.10)))</f>
        <v/>
      </c>
      <c r="H712" s="32">
        <f>MAX(0.02,MIN(0.98,NORMINV(RAND(),$C$13,0.15)))</f>
        <v/>
      </c>
      <c r="I712" s="32">
        <f>MAX(0,NORMINV(RAND(),$C$14,0.033))</f>
        <v/>
      </c>
      <c r="J712" s="33">
        <f>($C$7*$C$8/365)*F712</f>
        <v/>
      </c>
      <c r="K712" s="33">
        <f>$C$7*G712*$C$12*H712</f>
        <v/>
      </c>
      <c r="L712" s="33">
        <f>$C$7*I712*$C$15</f>
        <v/>
      </c>
      <c r="M712" s="33">
        <f>J712-K712-L712</f>
        <v/>
      </c>
    </row>
    <row r="713">
      <c r="E713" s="20" t="n">
        <v>705</v>
      </c>
      <c r="F713" s="32">
        <f>MAX(0.03,MIN(0.18,NORMINV(RAND(),$C$9,$C$10)))</f>
        <v/>
      </c>
      <c r="G713" s="32">
        <f>MAX(0.02,MIN(0.9,NORMINV(RAND(),$C$11,0.10)))</f>
        <v/>
      </c>
      <c r="H713" s="32">
        <f>MAX(0.02,MIN(0.98,NORMINV(RAND(),$C$13,0.15)))</f>
        <v/>
      </c>
      <c r="I713" s="32">
        <f>MAX(0,NORMINV(RAND(),$C$14,0.033))</f>
        <v/>
      </c>
      <c r="J713" s="33">
        <f>($C$7*$C$8/365)*F713</f>
        <v/>
      </c>
      <c r="K713" s="33">
        <f>$C$7*G713*$C$12*H713</f>
        <v/>
      </c>
      <c r="L713" s="33">
        <f>$C$7*I713*$C$15</f>
        <v/>
      </c>
      <c r="M713" s="33">
        <f>J713-K713-L713</f>
        <v/>
      </c>
    </row>
    <row r="714">
      <c r="E714" s="20" t="n">
        <v>706</v>
      </c>
      <c r="F714" s="32">
        <f>MAX(0.03,MIN(0.18,NORMINV(RAND(),$C$9,$C$10)))</f>
        <v/>
      </c>
      <c r="G714" s="32">
        <f>MAX(0.02,MIN(0.9,NORMINV(RAND(),$C$11,0.10)))</f>
        <v/>
      </c>
      <c r="H714" s="32">
        <f>MAX(0.02,MIN(0.98,NORMINV(RAND(),$C$13,0.15)))</f>
        <v/>
      </c>
      <c r="I714" s="32">
        <f>MAX(0,NORMINV(RAND(),$C$14,0.033))</f>
        <v/>
      </c>
      <c r="J714" s="33">
        <f>($C$7*$C$8/365)*F714</f>
        <v/>
      </c>
      <c r="K714" s="33">
        <f>$C$7*G714*$C$12*H714</f>
        <v/>
      </c>
      <c r="L714" s="33">
        <f>$C$7*I714*$C$15</f>
        <v/>
      </c>
      <c r="M714" s="33">
        <f>J714-K714-L714</f>
        <v/>
      </c>
    </row>
    <row r="715">
      <c r="E715" s="20" t="n">
        <v>707</v>
      </c>
      <c r="F715" s="32">
        <f>MAX(0.03,MIN(0.18,NORMINV(RAND(),$C$9,$C$10)))</f>
        <v/>
      </c>
      <c r="G715" s="32">
        <f>MAX(0.02,MIN(0.9,NORMINV(RAND(),$C$11,0.10)))</f>
        <v/>
      </c>
      <c r="H715" s="32">
        <f>MAX(0.02,MIN(0.98,NORMINV(RAND(),$C$13,0.15)))</f>
        <v/>
      </c>
      <c r="I715" s="32">
        <f>MAX(0,NORMINV(RAND(),$C$14,0.033))</f>
        <v/>
      </c>
      <c r="J715" s="33">
        <f>($C$7*$C$8/365)*F715</f>
        <v/>
      </c>
      <c r="K715" s="33">
        <f>$C$7*G715*$C$12*H715</f>
        <v/>
      </c>
      <c r="L715" s="33">
        <f>$C$7*I715*$C$15</f>
        <v/>
      </c>
      <c r="M715" s="33">
        <f>J715-K715-L715</f>
        <v/>
      </c>
    </row>
    <row r="716">
      <c r="E716" s="20" t="n">
        <v>708</v>
      </c>
      <c r="F716" s="32">
        <f>MAX(0.03,MIN(0.18,NORMINV(RAND(),$C$9,$C$10)))</f>
        <v/>
      </c>
      <c r="G716" s="32">
        <f>MAX(0.02,MIN(0.9,NORMINV(RAND(),$C$11,0.10)))</f>
        <v/>
      </c>
      <c r="H716" s="32">
        <f>MAX(0.02,MIN(0.98,NORMINV(RAND(),$C$13,0.15)))</f>
        <v/>
      </c>
      <c r="I716" s="32">
        <f>MAX(0,NORMINV(RAND(),$C$14,0.033))</f>
        <v/>
      </c>
      <c r="J716" s="33">
        <f>($C$7*$C$8/365)*F716</f>
        <v/>
      </c>
      <c r="K716" s="33">
        <f>$C$7*G716*$C$12*H716</f>
        <v/>
      </c>
      <c r="L716" s="33">
        <f>$C$7*I716*$C$15</f>
        <v/>
      </c>
      <c r="M716" s="33">
        <f>J716-K716-L716</f>
        <v/>
      </c>
    </row>
    <row r="717">
      <c r="E717" s="20" t="n">
        <v>709</v>
      </c>
      <c r="F717" s="32">
        <f>MAX(0.03,MIN(0.18,NORMINV(RAND(),$C$9,$C$10)))</f>
        <v/>
      </c>
      <c r="G717" s="32">
        <f>MAX(0.02,MIN(0.9,NORMINV(RAND(),$C$11,0.10)))</f>
        <v/>
      </c>
      <c r="H717" s="32">
        <f>MAX(0.02,MIN(0.98,NORMINV(RAND(),$C$13,0.15)))</f>
        <v/>
      </c>
      <c r="I717" s="32">
        <f>MAX(0,NORMINV(RAND(),$C$14,0.033))</f>
        <v/>
      </c>
      <c r="J717" s="33">
        <f>($C$7*$C$8/365)*F717</f>
        <v/>
      </c>
      <c r="K717" s="33">
        <f>$C$7*G717*$C$12*H717</f>
        <v/>
      </c>
      <c r="L717" s="33">
        <f>$C$7*I717*$C$15</f>
        <v/>
      </c>
      <c r="M717" s="33">
        <f>J717-K717-L717</f>
        <v/>
      </c>
    </row>
    <row r="718">
      <c r="E718" s="20" t="n">
        <v>710</v>
      </c>
      <c r="F718" s="32">
        <f>MAX(0.03,MIN(0.18,NORMINV(RAND(),$C$9,$C$10)))</f>
        <v/>
      </c>
      <c r="G718" s="32">
        <f>MAX(0.02,MIN(0.9,NORMINV(RAND(),$C$11,0.10)))</f>
        <v/>
      </c>
      <c r="H718" s="32">
        <f>MAX(0.02,MIN(0.98,NORMINV(RAND(),$C$13,0.15)))</f>
        <v/>
      </c>
      <c r="I718" s="32">
        <f>MAX(0,NORMINV(RAND(),$C$14,0.033))</f>
        <v/>
      </c>
      <c r="J718" s="33">
        <f>($C$7*$C$8/365)*F718</f>
        <v/>
      </c>
      <c r="K718" s="33">
        <f>$C$7*G718*$C$12*H718</f>
        <v/>
      </c>
      <c r="L718" s="33">
        <f>$C$7*I718*$C$15</f>
        <v/>
      </c>
      <c r="M718" s="33">
        <f>J718-K718-L718</f>
        <v/>
      </c>
    </row>
    <row r="719">
      <c r="E719" s="20" t="n">
        <v>711</v>
      </c>
      <c r="F719" s="32">
        <f>MAX(0.03,MIN(0.18,NORMINV(RAND(),$C$9,$C$10)))</f>
        <v/>
      </c>
      <c r="G719" s="32">
        <f>MAX(0.02,MIN(0.9,NORMINV(RAND(),$C$11,0.10)))</f>
        <v/>
      </c>
      <c r="H719" s="32">
        <f>MAX(0.02,MIN(0.98,NORMINV(RAND(),$C$13,0.15)))</f>
        <v/>
      </c>
      <c r="I719" s="32">
        <f>MAX(0,NORMINV(RAND(),$C$14,0.033))</f>
        <v/>
      </c>
      <c r="J719" s="33">
        <f>($C$7*$C$8/365)*F719</f>
        <v/>
      </c>
      <c r="K719" s="33">
        <f>$C$7*G719*$C$12*H719</f>
        <v/>
      </c>
      <c r="L719" s="33">
        <f>$C$7*I719*$C$15</f>
        <v/>
      </c>
      <c r="M719" s="33">
        <f>J719-K719-L719</f>
        <v/>
      </c>
    </row>
    <row r="720">
      <c r="E720" s="20" t="n">
        <v>712</v>
      </c>
      <c r="F720" s="32">
        <f>MAX(0.03,MIN(0.18,NORMINV(RAND(),$C$9,$C$10)))</f>
        <v/>
      </c>
      <c r="G720" s="32">
        <f>MAX(0.02,MIN(0.9,NORMINV(RAND(),$C$11,0.10)))</f>
        <v/>
      </c>
      <c r="H720" s="32">
        <f>MAX(0.02,MIN(0.98,NORMINV(RAND(),$C$13,0.15)))</f>
        <v/>
      </c>
      <c r="I720" s="32">
        <f>MAX(0,NORMINV(RAND(),$C$14,0.033))</f>
        <v/>
      </c>
      <c r="J720" s="33">
        <f>($C$7*$C$8/365)*F720</f>
        <v/>
      </c>
      <c r="K720" s="33">
        <f>$C$7*G720*$C$12*H720</f>
        <v/>
      </c>
      <c r="L720" s="33">
        <f>$C$7*I720*$C$15</f>
        <v/>
      </c>
      <c r="M720" s="33">
        <f>J720-K720-L720</f>
        <v/>
      </c>
    </row>
    <row r="721">
      <c r="E721" s="20" t="n">
        <v>713</v>
      </c>
      <c r="F721" s="32">
        <f>MAX(0.03,MIN(0.18,NORMINV(RAND(),$C$9,$C$10)))</f>
        <v/>
      </c>
      <c r="G721" s="32">
        <f>MAX(0.02,MIN(0.9,NORMINV(RAND(),$C$11,0.10)))</f>
        <v/>
      </c>
      <c r="H721" s="32">
        <f>MAX(0.02,MIN(0.98,NORMINV(RAND(),$C$13,0.15)))</f>
        <v/>
      </c>
      <c r="I721" s="32">
        <f>MAX(0,NORMINV(RAND(),$C$14,0.033))</f>
        <v/>
      </c>
      <c r="J721" s="33">
        <f>($C$7*$C$8/365)*F721</f>
        <v/>
      </c>
      <c r="K721" s="33">
        <f>$C$7*G721*$C$12*H721</f>
        <v/>
      </c>
      <c r="L721" s="33">
        <f>$C$7*I721*$C$15</f>
        <v/>
      </c>
      <c r="M721" s="33">
        <f>J721-K721-L721</f>
        <v/>
      </c>
    </row>
    <row r="722">
      <c r="E722" s="20" t="n">
        <v>714</v>
      </c>
      <c r="F722" s="32">
        <f>MAX(0.03,MIN(0.18,NORMINV(RAND(),$C$9,$C$10)))</f>
        <v/>
      </c>
      <c r="G722" s="32">
        <f>MAX(0.02,MIN(0.9,NORMINV(RAND(),$C$11,0.10)))</f>
        <v/>
      </c>
      <c r="H722" s="32">
        <f>MAX(0.02,MIN(0.98,NORMINV(RAND(),$C$13,0.15)))</f>
        <v/>
      </c>
      <c r="I722" s="32">
        <f>MAX(0,NORMINV(RAND(),$C$14,0.033))</f>
        <v/>
      </c>
      <c r="J722" s="33">
        <f>($C$7*$C$8/365)*F722</f>
        <v/>
      </c>
      <c r="K722" s="33">
        <f>$C$7*G722*$C$12*H722</f>
        <v/>
      </c>
      <c r="L722" s="33">
        <f>$C$7*I722*$C$15</f>
        <v/>
      </c>
      <c r="M722" s="33">
        <f>J722-K722-L722</f>
        <v/>
      </c>
    </row>
    <row r="723">
      <c r="E723" s="20" t="n">
        <v>715</v>
      </c>
      <c r="F723" s="32">
        <f>MAX(0.03,MIN(0.18,NORMINV(RAND(),$C$9,$C$10)))</f>
        <v/>
      </c>
      <c r="G723" s="32">
        <f>MAX(0.02,MIN(0.9,NORMINV(RAND(),$C$11,0.10)))</f>
        <v/>
      </c>
      <c r="H723" s="32">
        <f>MAX(0.02,MIN(0.98,NORMINV(RAND(),$C$13,0.15)))</f>
        <v/>
      </c>
      <c r="I723" s="32">
        <f>MAX(0,NORMINV(RAND(),$C$14,0.033))</f>
        <v/>
      </c>
      <c r="J723" s="33">
        <f>($C$7*$C$8/365)*F723</f>
        <v/>
      </c>
      <c r="K723" s="33">
        <f>$C$7*G723*$C$12*H723</f>
        <v/>
      </c>
      <c r="L723" s="33">
        <f>$C$7*I723*$C$15</f>
        <v/>
      </c>
      <c r="M723" s="33">
        <f>J723-K723-L723</f>
        <v/>
      </c>
    </row>
    <row r="724">
      <c r="E724" s="20" t="n">
        <v>716</v>
      </c>
      <c r="F724" s="32">
        <f>MAX(0.03,MIN(0.18,NORMINV(RAND(),$C$9,$C$10)))</f>
        <v/>
      </c>
      <c r="G724" s="32">
        <f>MAX(0.02,MIN(0.9,NORMINV(RAND(),$C$11,0.10)))</f>
        <v/>
      </c>
      <c r="H724" s="32">
        <f>MAX(0.02,MIN(0.98,NORMINV(RAND(),$C$13,0.15)))</f>
        <v/>
      </c>
      <c r="I724" s="32">
        <f>MAX(0,NORMINV(RAND(),$C$14,0.033))</f>
        <v/>
      </c>
      <c r="J724" s="33">
        <f>($C$7*$C$8/365)*F724</f>
        <v/>
      </c>
      <c r="K724" s="33">
        <f>$C$7*G724*$C$12*H724</f>
        <v/>
      </c>
      <c r="L724" s="33">
        <f>$C$7*I724*$C$15</f>
        <v/>
      </c>
      <c r="M724" s="33">
        <f>J724-K724-L724</f>
        <v/>
      </c>
    </row>
    <row r="725">
      <c r="E725" s="20" t="n">
        <v>717</v>
      </c>
      <c r="F725" s="32">
        <f>MAX(0.03,MIN(0.18,NORMINV(RAND(),$C$9,$C$10)))</f>
        <v/>
      </c>
      <c r="G725" s="32">
        <f>MAX(0.02,MIN(0.9,NORMINV(RAND(),$C$11,0.10)))</f>
        <v/>
      </c>
      <c r="H725" s="32">
        <f>MAX(0.02,MIN(0.98,NORMINV(RAND(),$C$13,0.15)))</f>
        <v/>
      </c>
      <c r="I725" s="32">
        <f>MAX(0,NORMINV(RAND(),$C$14,0.033))</f>
        <v/>
      </c>
      <c r="J725" s="33">
        <f>($C$7*$C$8/365)*F725</f>
        <v/>
      </c>
      <c r="K725" s="33">
        <f>$C$7*G725*$C$12*H725</f>
        <v/>
      </c>
      <c r="L725" s="33">
        <f>$C$7*I725*$C$15</f>
        <v/>
      </c>
      <c r="M725" s="33">
        <f>J725-K725-L725</f>
        <v/>
      </c>
    </row>
    <row r="726">
      <c r="E726" s="20" t="n">
        <v>718</v>
      </c>
      <c r="F726" s="32">
        <f>MAX(0.03,MIN(0.18,NORMINV(RAND(),$C$9,$C$10)))</f>
        <v/>
      </c>
      <c r="G726" s="32">
        <f>MAX(0.02,MIN(0.9,NORMINV(RAND(),$C$11,0.10)))</f>
        <v/>
      </c>
      <c r="H726" s="32">
        <f>MAX(0.02,MIN(0.98,NORMINV(RAND(),$C$13,0.15)))</f>
        <v/>
      </c>
      <c r="I726" s="32">
        <f>MAX(0,NORMINV(RAND(),$C$14,0.033))</f>
        <v/>
      </c>
      <c r="J726" s="33">
        <f>($C$7*$C$8/365)*F726</f>
        <v/>
      </c>
      <c r="K726" s="33">
        <f>$C$7*G726*$C$12*H726</f>
        <v/>
      </c>
      <c r="L726" s="33">
        <f>$C$7*I726*$C$15</f>
        <v/>
      </c>
      <c r="M726" s="33">
        <f>J726-K726-L726</f>
        <v/>
      </c>
    </row>
    <row r="727">
      <c r="E727" s="20" t="n">
        <v>719</v>
      </c>
      <c r="F727" s="32">
        <f>MAX(0.03,MIN(0.18,NORMINV(RAND(),$C$9,$C$10)))</f>
        <v/>
      </c>
      <c r="G727" s="32">
        <f>MAX(0.02,MIN(0.9,NORMINV(RAND(),$C$11,0.10)))</f>
        <v/>
      </c>
      <c r="H727" s="32">
        <f>MAX(0.02,MIN(0.98,NORMINV(RAND(),$C$13,0.15)))</f>
        <v/>
      </c>
      <c r="I727" s="32">
        <f>MAX(0,NORMINV(RAND(),$C$14,0.033))</f>
        <v/>
      </c>
      <c r="J727" s="33">
        <f>($C$7*$C$8/365)*F727</f>
        <v/>
      </c>
      <c r="K727" s="33">
        <f>$C$7*G727*$C$12*H727</f>
        <v/>
      </c>
      <c r="L727" s="33">
        <f>$C$7*I727*$C$15</f>
        <v/>
      </c>
      <c r="M727" s="33">
        <f>J727-K727-L727</f>
        <v/>
      </c>
    </row>
    <row r="728">
      <c r="E728" s="20" t="n">
        <v>720</v>
      </c>
      <c r="F728" s="32">
        <f>MAX(0.03,MIN(0.18,NORMINV(RAND(),$C$9,$C$10)))</f>
        <v/>
      </c>
      <c r="G728" s="32">
        <f>MAX(0.02,MIN(0.9,NORMINV(RAND(),$C$11,0.10)))</f>
        <v/>
      </c>
      <c r="H728" s="32">
        <f>MAX(0.02,MIN(0.98,NORMINV(RAND(),$C$13,0.15)))</f>
        <v/>
      </c>
      <c r="I728" s="32">
        <f>MAX(0,NORMINV(RAND(),$C$14,0.033))</f>
        <v/>
      </c>
      <c r="J728" s="33">
        <f>($C$7*$C$8/365)*F728</f>
        <v/>
      </c>
      <c r="K728" s="33">
        <f>$C$7*G728*$C$12*H728</f>
        <v/>
      </c>
      <c r="L728" s="33">
        <f>$C$7*I728*$C$15</f>
        <v/>
      </c>
      <c r="M728" s="33">
        <f>J728-K728-L728</f>
        <v/>
      </c>
    </row>
    <row r="729">
      <c r="E729" s="20" t="n">
        <v>721</v>
      </c>
      <c r="F729" s="32">
        <f>MAX(0.03,MIN(0.18,NORMINV(RAND(),$C$9,$C$10)))</f>
        <v/>
      </c>
      <c r="G729" s="32">
        <f>MAX(0.02,MIN(0.9,NORMINV(RAND(),$C$11,0.10)))</f>
        <v/>
      </c>
      <c r="H729" s="32">
        <f>MAX(0.02,MIN(0.98,NORMINV(RAND(),$C$13,0.15)))</f>
        <v/>
      </c>
      <c r="I729" s="32">
        <f>MAX(0,NORMINV(RAND(),$C$14,0.033))</f>
        <v/>
      </c>
      <c r="J729" s="33">
        <f>($C$7*$C$8/365)*F729</f>
        <v/>
      </c>
      <c r="K729" s="33">
        <f>$C$7*G729*$C$12*H729</f>
        <v/>
      </c>
      <c r="L729" s="33">
        <f>$C$7*I729*$C$15</f>
        <v/>
      </c>
      <c r="M729" s="33">
        <f>J729-K729-L729</f>
        <v/>
      </c>
    </row>
    <row r="730">
      <c r="E730" s="20" t="n">
        <v>722</v>
      </c>
      <c r="F730" s="32">
        <f>MAX(0.03,MIN(0.18,NORMINV(RAND(),$C$9,$C$10)))</f>
        <v/>
      </c>
      <c r="G730" s="32">
        <f>MAX(0.02,MIN(0.9,NORMINV(RAND(),$C$11,0.10)))</f>
        <v/>
      </c>
      <c r="H730" s="32">
        <f>MAX(0.02,MIN(0.98,NORMINV(RAND(),$C$13,0.15)))</f>
        <v/>
      </c>
      <c r="I730" s="32">
        <f>MAX(0,NORMINV(RAND(),$C$14,0.033))</f>
        <v/>
      </c>
      <c r="J730" s="33">
        <f>($C$7*$C$8/365)*F730</f>
        <v/>
      </c>
      <c r="K730" s="33">
        <f>$C$7*G730*$C$12*H730</f>
        <v/>
      </c>
      <c r="L730" s="33">
        <f>$C$7*I730*$C$15</f>
        <v/>
      </c>
      <c r="M730" s="33">
        <f>J730-K730-L730</f>
        <v/>
      </c>
    </row>
    <row r="731">
      <c r="E731" s="20" t="n">
        <v>723</v>
      </c>
      <c r="F731" s="32">
        <f>MAX(0.03,MIN(0.18,NORMINV(RAND(),$C$9,$C$10)))</f>
        <v/>
      </c>
      <c r="G731" s="32">
        <f>MAX(0.02,MIN(0.9,NORMINV(RAND(),$C$11,0.10)))</f>
        <v/>
      </c>
      <c r="H731" s="32">
        <f>MAX(0.02,MIN(0.98,NORMINV(RAND(),$C$13,0.15)))</f>
        <v/>
      </c>
      <c r="I731" s="32">
        <f>MAX(0,NORMINV(RAND(),$C$14,0.033))</f>
        <v/>
      </c>
      <c r="J731" s="33">
        <f>($C$7*$C$8/365)*F731</f>
        <v/>
      </c>
      <c r="K731" s="33">
        <f>$C$7*G731*$C$12*H731</f>
        <v/>
      </c>
      <c r="L731" s="33">
        <f>$C$7*I731*$C$15</f>
        <v/>
      </c>
      <c r="M731" s="33">
        <f>J731-K731-L731</f>
        <v/>
      </c>
    </row>
    <row r="732">
      <c r="E732" s="20" t="n">
        <v>724</v>
      </c>
      <c r="F732" s="32">
        <f>MAX(0.03,MIN(0.18,NORMINV(RAND(),$C$9,$C$10)))</f>
        <v/>
      </c>
      <c r="G732" s="32">
        <f>MAX(0.02,MIN(0.9,NORMINV(RAND(),$C$11,0.10)))</f>
        <v/>
      </c>
      <c r="H732" s="32">
        <f>MAX(0.02,MIN(0.98,NORMINV(RAND(),$C$13,0.15)))</f>
        <v/>
      </c>
      <c r="I732" s="32">
        <f>MAX(0,NORMINV(RAND(),$C$14,0.033))</f>
        <v/>
      </c>
      <c r="J732" s="33">
        <f>($C$7*$C$8/365)*F732</f>
        <v/>
      </c>
      <c r="K732" s="33">
        <f>$C$7*G732*$C$12*H732</f>
        <v/>
      </c>
      <c r="L732" s="33">
        <f>$C$7*I732*$C$15</f>
        <v/>
      </c>
      <c r="M732" s="33">
        <f>J732-K732-L732</f>
        <v/>
      </c>
    </row>
    <row r="733">
      <c r="E733" s="20" t="n">
        <v>725</v>
      </c>
      <c r="F733" s="32">
        <f>MAX(0.03,MIN(0.18,NORMINV(RAND(),$C$9,$C$10)))</f>
        <v/>
      </c>
      <c r="G733" s="32">
        <f>MAX(0.02,MIN(0.9,NORMINV(RAND(),$C$11,0.10)))</f>
        <v/>
      </c>
      <c r="H733" s="32">
        <f>MAX(0.02,MIN(0.98,NORMINV(RAND(),$C$13,0.15)))</f>
        <v/>
      </c>
      <c r="I733" s="32">
        <f>MAX(0,NORMINV(RAND(),$C$14,0.033))</f>
        <v/>
      </c>
      <c r="J733" s="33">
        <f>($C$7*$C$8/365)*F733</f>
        <v/>
      </c>
      <c r="K733" s="33">
        <f>$C$7*G733*$C$12*H733</f>
        <v/>
      </c>
      <c r="L733" s="33">
        <f>$C$7*I733*$C$15</f>
        <v/>
      </c>
      <c r="M733" s="33">
        <f>J733-K733-L733</f>
        <v/>
      </c>
    </row>
    <row r="734">
      <c r="E734" s="20" t="n">
        <v>726</v>
      </c>
      <c r="F734" s="32">
        <f>MAX(0.03,MIN(0.18,NORMINV(RAND(),$C$9,$C$10)))</f>
        <v/>
      </c>
      <c r="G734" s="32">
        <f>MAX(0.02,MIN(0.9,NORMINV(RAND(),$C$11,0.10)))</f>
        <v/>
      </c>
      <c r="H734" s="32">
        <f>MAX(0.02,MIN(0.98,NORMINV(RAND(),$C$13,0.15)))</f>
        <v/>
      </c>
      <c r="I734" s="32">
        <f>MAX(0,NORMINV(RAND(),$C$14,0.033))</f>
        <v/>
      </c>
      <c r="J734" s="33">
        <f>($C$7*$C$8/365)*F734</f>
        <v/>
      </c>
      <c r="K734" s="33">
        <f>$C$7*G734*$C$12*H734</f>
        <v/>
      </c>
      <c r="L734" s="33">
        <f>$C$7*I734*$C$15</f>
        <v/>
      </c>
      <c r="M734" s="33">
        <f>J734-K734-L734</f>
        <v/>
      </c>
    </row>
    <row r="735">
      <c r="E735" s="20" t="n">
        <v>727</v>
      </c>
      <c r="F735" s="32">
        <f>MAX(0.03,MIN(0.18,NORMINV(RAND(),$C$9,$C$10)))</f>
        <v/>
      </c>
      <c r="G735" s="32">
        <f>MAX(0.02,MIN(0.9,NORMINV(RAND(),$C$11,0.10)))</f>
        <v/>
      </c>
      <c r="H735" s="32">
        <f>MAX(0.02,MIN(0.98,NORMINV(RAND(),$C$13,0.15)))</f>
        <v/>
      </c>
      <c r="I735" s="32">
        <f>MAX(0,NORMINV(RAND(),$C$14,0.033))</f>
        <v/>
      </c>
      <c r="J735" s="33">
        <f>($C$7*$C$8/365)*F735</f>
        <v/>
      </c>
      <c r="K735" s="33">
        <f>$C$7*G735*$C$12*H735</f>
        <v/>
      </c>
      <c r="L735" s="33">
        <f>$C$7*I735*$C$15</f>
        <v/>
      </c>
      <c r="M735" s="33">
        <f>J735-K735-L735</f>
        <v/>
      </c>
    </row>
    <row r="736">
      <c r="E736" s="20" t="n">
        <v>728</v>
      </c>
      <c r="F736" s="32">
        <f>MAX(0.03,MIN(0.18,NORMINV(RAND(),$C$9,$C$10)))</f>
        <v/>
      </c>
      <c r="G736" s="32">
        <f>MAX(0.02,MIN(0.9,NORMINV(RAND(),$C$11,0.10)))</f>
        <v/>
      </c>
      <c r="H736" s="32">
        <f>MAX(0.02,MIN(0.98,NORMINV(RAND(),$C$13,0.15)))</f>
        <v/>
      </c>
      <c r="I736" s="32">
        <f>MAX(0,NORMINV(RAND(),$C$14,0.033))</f>
        <v/>
      </c>
      <c r="J736" s="33">
        <f>($C$7*$C$8/365)*F736</f>
        <v/>
      </c>
      <c r="K736" s="33">
        <f>$C$7*G736*$C$12*H736</f>
        <v/>
      </c>
      <c r="L736" s="33">
        <f>$C$7*I736*$C$15</f>
        <v/>
      </c>
      <c r="M736" s="33">
        <f>J736-K736-L736</f>
        <v/>
      </c>
    </row>
    <row r="737">
      <c r="E737" s="20" t="n">
        <v>729</v>
      </c>
      <c r="F737" s="32">
        <f>MAX(0.03,MIN(0.18,NORMINV(RAND(),$C$9,$C$10)))</f>
        <v/>
      </c>
      <c r="G737" s="32">
        <f>MAX(0.02,MIN(0.9,NORMINV(RAND(),$C$11,0.10)))</f>
        <v/>
      </c>
      <c r="H737" s="32">
        <f>MAX(0.02,MIN(0.98,NORMINV(RAND(),$C$13,0.15)))</f>
        <v/>
      </c>
      <c r="I737" s="32">
        <f>MAX(0,NORMINV(RAND(),$C$14,0.033))</f>
        <v/>
      </c>
      <c r="J737" s="33">
        <f>($C$7*$C$8/365)*F737</f>
        <v/>
      </c>
      <c r="K737" s="33">
        <f>$C$7*G737*$C$12*H737</f>
        <v/>
      </c>
      <c r="L737" s="33">
        <f>$C$7*I737*$C$15</f>
        <v/>
      </c>
      <c r="M737" s="33">
        <f>J737-K737-L737</f>
        <v/>
      </c>
    </row>
    <row r="738">
      <c r="E738" s="20" t="n">
        <v>730</v>
      </c>
      <c r="F738" s="32">
        <f>MAX(0.03,MIN(0.18,NORMINV(RAND(),$C$9,$C$10)))</f>
        <v/>
      </c>
      <c r="G738" s="32">
        <f>MAX(0.02,MIN(0.9,NORMINV(RAND(),$C$11,0.10)))</f>
        <v/>
      </c>
      <c r="H738" s="32">
        <f>MAX(0.02,MIN(0.98,NORMINV(RAND(),$C$13,0.15)))</f>
        <v/>
      </c>
      <c r="I738" s="32">
        <f>MAX(0,NORMINV(RAND(),$C$14,0.033))</f>
        <v/>
      </c>
      <c r="J738" s="33">
        <f>($C$7*$C$8/365)*F738</f>
        <v/>
      </c>
      <c r="K738" s="33">
        <f>$C$7*G738*$C$12*H738</f>
        <v/>
      </c>
      <c r="L738" s="33">
        <f>$C$7*I738*$C$15</f>
        <v/>
      </c>
      <c r="M738" s="33">
        <f>J738-K738-L738</f>
        <v/>
      </c>
    </row>
    <row r="739">
      <c r="E739" s="20" t="n">
        <v>731</v>
      </c>
      <c r="F739" s="32">
        <f>MAX(0.03,MIN(0.18,NORMINV(RAND(),$C$9,$C$10)))</f>
        <v/>
      </c>
      <c r="G739" s="32">
        <f>MAX(0.02,MIN(0.9,NORMINV(RAND(),$C$11,0.10)))</f>
        <v/>
      </c>
      <c r="H739" s="32">
        <f>MAX(0.02,MIN(0.98,NORMINV(RAND(),$C$13,0.15)))</f>
        <v/>
      </c>
      <c r="I739" s="32">
        <f>MAX(0,NORMINV(RAND(),$C$14,0.033))</f>
        <v/>
      </c>
      <c r="J739" s="33">
        <f>($C$7*$C$8/365)*F739</f>
        <v/>
      </c>
      <c r="K739" s="33">
        <f>$C$7*G739*$C$12*H739</f>
        <v/>
      </c>
      <c r="L739" s="33">
        <f>$C$7*I739*$C$15</f>
        <v/>
      </c>
      <c r="M739" s="33">
        <f>J739-K739-L739</f>
        <v/>
      </c>
    </row>
    <row r="740">
      <c r="E740" s="20" t="n">
        <v>732</v>
      </c>
      <c r="F740" s="32">
        <f>MAX(0.03,MIN(0.18,NORMINV(RAND(),$C$9,$C$10)))</f>
        <v/>
      </c>
      <c r="G740" s="32">
        <f>MAX(0.02,MIN(0.9,NORMINV(RAND(),$C$11,0.10)))</f>
        <v/>
      </c>
      <c r="H740" s="32">
        <f>MAX(0.02,MIN(0.98,NORMINV(RAND(),$C$13,0.15)))</f>
        <v/>
      </c>
      <c r="I740" s="32">
        <f>MAX(0,NORMINV(RAND(),$C$14,0.033))</f>
        <v/>
      </c>
      <c r="J740" s="33">
        <f>($C$7*$C$8/365)*F740</f>
        <v/>
      </c>
      <c r="K740" s="33">
        <f>$C$7*G740*$C$12*H740</f>
        <v/>
      </c>
      <c r="L740" s="33">
        <f>$C$7*I740*$C$15</f>
        <v/>
      </c>
      <c r="M740" s="33">
        <f>J740-K740-L740</f>
        <v/>
      </c>
    </row>
    <row r="741">
      <c r="E741" s="20" t="n">
        <v>733</v>
      </c>
      <c r="F741" s="32">
        <f>MAX(0.03,MIN(0.18,NORMINV(RAND(),$C$9,$C$10)))</f>
        <v/>
      </c>
      <c r="G741" s="32">
        <f>MAX(0.02,MIN(0.9,NORMINV(RAND(),$C$11,0.10)))</f>
        <v/>
      </c>
      <c r="H741" s="32">
        <f>MAX(0.02,MIN(0.98,NORMINV(RAND(),$C$13,0.15)))</f>
        <v/>
      </c>
      <c r="I741" s="32">
        <f>MAX(0,NORMINV(RAND(),$C$14,0.033))</f>
        <v/>
      </c>
      <c r="J741" s="33">
        <f>($C$7*$C$8/365)*F741</f>
        <v/>
      </c>
      <c r="K741" s="33">
        <f>$C$7*G741*$C$12*H741</f>
        <v/>
      </c>
      <c r="L741" s="33">
        <f>$C$7*I741*$C$15</f>
        <v/>
      </c>
      <c r="M741" s="33">
        <f>J741-K741-L741</f>
        <v/>
      </c>
    </row>
    <row r="742">
      <c r="E742" s="20" t="n">
        <v>734</v>
      </c>
      <c r="F742" s="32">
        <f>MAX(0.03,MIN(0.18,NORMINV(RAND(),$C$9,$C$10)))</f>
        <v/>
      </c>
      <c r="G742" s="32">
        <f>MAX(0.02,MIN(0.9,NORMINV(RAND(),$C$11,0.10)))</f>
        <v/>
      </c>
      <c r="H742" s="32">
        <f>MAX(0.02,MIN(0.98,NORMINV(RAND(),$C$13,0.15)))</f>
        <v/>
      </c>
      <c r="I742" s="32">
        <f>MAX(0,NORMINV(RAND(),$C$14,0.033))</f>
        <v/>
      </c>
      <c r="J742" s="33">
        <f>($C$7*$C$8/365)*F742</f>
        <v/>
      </c>
      <c r="K742" s="33">
        <f>$C$7*G742*$C$12*H742</f>
        <v/>
      </c>
      <c r="L742" s="33">
        <f>$C$7*I742*$C$15</f>
        <v/>
      </c>
      <c r="M742" s="33">
        <f>J742-K742-L742</f>
        <v/>
      </c>
    </row>
    <row r="743">
      <c r="E743" s="20" t="n">
        <v>735</v>
      </c>
      <c r="F743" s="32">
        <f>MAX(0.03,MIN(0.18,NORMINV(RAND(),$C$9,$C$10)))</f>
        <v/>
      </c>
      <c r="G743" s="32">
        <f>MAX(0.02,MIN(0.9,NORMINV(RAND(),$C$11,0.10)))</f>
        <v/>
      </c>
      <c r="H743" s="32">
        <f>MAX(0.02,MIN(0.98,NORMINV(RAND(),$C$13,0.15)))</f>
        <v/>
      </c>
      <c r="I743" s="32">
        <f>MAX(0,NORMINV(RAND(),$C$14,0.033))</f>
        <v/>
      </c>
      <c r="J743" s="33">
        <f>($C$7*$C$8/365)*F743</f>
        <v/>
      </c>
      <c r="K743" s="33">
        <f>$C$7*G743*$C$12*H743</f>
        <v/>
      </c>
      <c r="L743" s="33">
        <f>$C$7*I743*$C$15</f>
        <v/>
      </c>
      <c r="M743" s="33">
        <f>J743-K743-L743</f>
        <v/>
      </c>
    </row>
    <row r="744">
      <c r="E744" s="20" t="n">
        <v>736</v>
      </c>
      <c r="F744" s="32">
        <f>MAX(0.03,MIN(0.18,NORMINV(RAND(),$C$9,$C$10)))</f>
        <v/>
      </c>
      <c r="G744" s="32">
        <f>MAX(0.02,MIN(0.9,NORMINV(RAND(),$C$11,0.10)))</f>
        <v/>
      </c>
      <c r="H744" s="32">
        <f>MAX(0.02,MIN(0.98,NORMINV(RAND(),$C$13,0.15)))</f>
        <v/>
      </c>
      <c r="I744" s="32">
        <f>MAX(0,NORMINV(RAND(),$C$14,0.033))</f>
        <v/>
      </c>
      <c r="J744" s="33">
        <f>($C$7*$C$8/365)*F744</f>
        <v/>
      </c>
      <c r="K744" s="33">
        <f>$C$7*G744*$C$12*H744</f>
        <v/>
      </c>
      <c r="L744" s="33">
        <f>$C$7*I744*$C$15</f>
        <v/>
      </c>
      <c r="M744" s="33">
        <f>J744-K744-L744</f>
        <v/>
      </c>
    </row>
    <row r="745">
      <c r="E745" s="20" t="n">
        <v>737</v>
      </c>
      <c r="F745" s="32">
        <f>MAX(0.03,MIN(0.18,NORMINV(RAND(),$C$9,$C$10)))</f>
        <v/>
      </c>
      <c r="G745" s="32">
        <f>MAX(0.02,MIN(0.9,NORMINV(RAND(),$C$11,0.10)))</f>
        <v/>
      </c>
      <c r="H745" s="32">
        <f>MAX(0.02,MIN(0.98,NORMINV(RAND(),$C$13,0.15)))</f>
        <v/>
      </c>
      <c r="I745" s="32">
        <f>MAX(0,NORMINV(RAND(),$C$14,0.033))</f>
        <v/>
      </c>
      <c r="J745" s="33">
        <f>($C$7*$C$8/365)*F745</f>
        <v/>
      </c>
      <c r="K745" s="33">
        <f>$C$7*G745*$C$12*H745</f>
        <v/>
      </c>
      <c r="L745" s="33">
        <f>$C$7*I745*$C$15</f>
        <v/>
      </c>
      <c r="M745" s="33">
        <f>J745-K745-L745</f>
        <v/>
      </c>
    </row>
    <row r="746">
      <c r="E746" s="20" t="n">
        <v>738</v>
      </c>
      <c r="F746" s="32">
        <f>MAX(0.03,MIN(0.18,NORMINV(RAND(),$C$9,$C$10)))</f>
        <v/>
      </c>
      <c r="G746" s="32">
        <f>MAX(0.02,MIN(0.9,NORMINV(RAND(),$C$11,0.10)))</f>
        <v/>
      </c>
      <c r="H746" s="32">
        <f>MAX(0.02,MIN(0.98,NORMINV(RAND(),$C$13,0.15)))</f>
        <v/>
      </c>
      <c r="I746" s="32">
        <f>MAX(0,NORMINV(RAND(),$C$14,0.033))</f>
        <v/>
      </c>
      <c r="J746" s="33">
        <f>($C$7*$C$8/365)*F746</f>
        <v/>
      </c>
      <c r="K746" s="33">
        <f>$C$7*G746*$C$12*H746</f>
        <v/>
      </c>
      <c r="L746" s="33">
        <f>$C$7*I746*$C$15</f>
        <v/>
      </c>
      <c r="M746" s="33">
        <f>J746-K746-L746</f>
        <v/>
      </c>
    </row>
    <row r="747">
      <c r="E747" s="20" t="n">
        <v>739</v>
      </c>
      <c r="F747" s="32">
        <f>MAX(0.03,MIN(0.18,NORMINV(RAND(),$C$9,$C$10)))</f>
        <v/>
      </c>
      <c r="G747" s="32">
        <f>MAX(0.02,MIN(0.9,NORMINV(RAND(),$C$11,0.10)))</f>
        <v/>
      </c>
      <c r="H747" s="32">
        <f>MAX(0.02,MIN(0.98,NORMINV(RAND(),$C$13,0.15)))</f>
        <v/>
      </c>
      <c r="I747" s="32">
        <f>MAX(0,NORMINV(RAND(),$C$14,0.033))</f>
        <v/>
      </c>
      <c r="J747" s="33">
        <f>($C$7*$C$8/365)*F747</f>
        <v/>
      </c>
      <c r="K747" s="33">
        <f>$C$7*G747*$C$12*H747</f>
        <v/>
      </c>
      <c r="L747" s="33">
        <f>$C$7*I747*$C$15</f>
        <v/>
      </c>
      <c r="M747" s="33">
        <f>J747-K747-L747</f>
        <v/>
      </c>
    </row>
    <row r="748">
      <c r="E748" s="20" t="n">
        <v>740</v>
      </c>
      <c r="F748" s="32">
        <f>MAX(0.03,MIN(0.18,NORMINV(RAND(),$C$9,$C$10)))</f>
        <v/>
      </c>
      <c r="G748" s="32">
        <f>MAX(0.02,MIN(0.9,NORMINV(RAND(),$C$11,0.10)))</f>
        <v/>
      </c>
      <c r="H748" s="32">
        <f>MAX(0.02,MIN(0.98,NORMINV(RAND(),$C$13,0.15)))</f>
        <v/>
      </c>
      <c r="I748" s="32">
        <f>MAX(0,NORMINV(RAND(),$C$14,0.033))</f>
        <v/>
      </c>
      <c r="J748" s="33">
        <f>($C$7*$C$8/365)*F748</f>
        <v/>
      </c>
      <c r="K748" s="33">
        <f>$C$7*G748*$C$12*H748</f>
        <v/>
      </c>
      <c r="L748" s="33">
        <f>$C$7*I748*$C$15</f>
        <v/>
      </c>
      <c r="M748" s="33">
        <f>J748-K748-L748</f>
        <v/>
      </c>
    </row>
    <row r="749">
      <c r="E749" s="20" t="n">
        <v>741</v>
      </c>
      <c r="F749" s="32">
        <f>MAX(0.03,MIN(0.18,NORMINV(RAND(),$C$9,$C$10)))</f>
        <v/>
      </c>
      <c r="G749" s="32">
        <f>MAX(0.02,MIN(0.9,NORMINV(RAND(),$C$11,0.10)))</f>
        <v/>
      </c>
      <c r="H749" s="32">
        <f>MAX(0.02,MIN(0.98,NORMINV(RAND(),$C$13,0.15)))</f>
        <v/>
      </c>
      <c r="I749" s="32">
        <f>MAX(0,NORMINV(RAND(),$C$14,0.033))</f>
        <v/>
      </c>
      <c r="J749" s="33">
        <f>($C$7*$C$8/365)*F749</f>
        <v/>
      </c>
      <c r="K749" s="33">
        <f>$C$7*G749*$C$12*H749</f>
        <v/>
      </c>
      <c r="L749" s="33">
        <f>$C$7*I749*$C$15</f>
        <v/>
      </c>
      <c r="M749" s="33">
        <f>J749-K749-L749</f>
        <v/>
      </c>
    </row>
    <row r="750">
      <c r="E750" s="20" t="n">
        <v>742</v>
      </c>
      <c r="F750" s="32">
        <f>MAX(0.03,MIN(0.18,NORMINV(RAND(),$C$9,$C$10)))</f>
        <v/>
      </c>
      <c r="G750" s="32">
        <f>MAX(0.02,MIN(0.9,NORMINV(RAND(),$C$11,0.10)))</f>
        <v/>
      </c>
      <c r="H750" s="32">
        <f>MAX(0.02,MIN(0.98,NORMINV(RAND(),$C$13,0.15)))</f>
        <v/>
      </c>
      <c r="I750" s="32">
        <f>MAX(0,NORMINV(RAND(),$C$14,0.033))</f>
        <v/>
      </c>
      <c r="J750" s="33">
        <f>($C$7*$C$8/365)*F750</f>
        <v/>
      </c>
      <c r="K750" s="33">
        <f>$C$7*G750*$C$12*H750</f>
        <v/>
      </c>
      <c r="L750" s="33">
        <f>$C$7*I750*$C$15</f>
        <v/>
      </c>
      <c r="M750" s="33">
        <f>J750-K750-L750</f>
        <v/>
      </c>
    </row>
    <row r="751">
      <c r="E751" s="20" t="n">
        <v>743</v>
      </c>
      <c r="F751" s="32">
        <f>MAX(0.03,MIN(0.18,NORMINV(RAND(),$C$9,$C$10)))</f>
        <v/>
      </c>
      <c r="G751" s="32">
        <f>MAX(0.02,MIN(0.9,NORMINV(RAND(),$C$11,0.10)))</f>
        <v/>
      </c>
      <c r="H751" s="32">
        <f>MAX(0.02,MIN(0.98,NORMINV(RAND(),$C$13,0.15)))</f>
        <v/>
      </c>
      <c r="I751" s="32">
        <f>MAX(0,NORMINV(RAND(),$C$14,0.033))</f>
        <v/>
      </c>
      <c r="J751" s="33">
        <f>($C$7*$C$8/365)*F751</f>
        <v/>
      </c>
      <c r="K751" s="33">
        <f>$C$7*G751*$C$12*H751</f>
        <v/>
      </c>
      <c r="L751" s="33">
        <f>$C$7*I751*$C$15</f>
        <v/>
      </c>
      <c r="M751" s="33">
        <f>J751-K751-L751</f>
        <v/>
      </c>
    </row>
    <row r="752">
      <c r="E752" s="20" t="n">
        <v>744</v>
      </c>
      <c r="F752" s="32">
        <f>MAX(0.03,MIN(0.18,NORMINV(RAND(),$C$9,$C$10)))</f>
        <v/>
      </c>
      <c r="G752" s="32">
        <f>MAX(0.02,MIN(0.9,NORMINV(RAND(),$C$11,0.10)))</f>
        <v/>
      </c>
      <c r="H752" s="32">
        <f>MAX(0.02,MIN(0.98,NORMINV(RAND(),$C$13,0.15)))</f>
        <v/>
      </c>
      <c r="I752" s="32">
        <f>MAX(0,NORMINV(RAND(),$C$14,0.033))</f>
        <v/>
      </c>
      <c r="J752" s="33">
        <f>($C$7*$C$8/365)*F752</f>
        <v/>
      </c>
      <c r="K752" s="33">
        <f>$C$7*G752*$C$12*H752</f>
        <v/>
      </c>
      <c r="L752" s="33">
        <f>$C$7*I752*$C$15</f>
        <v/>
      </c>
      <c r="M752" s="33">
        <f>J752-K752-L752</f>
        <v/>
      </c>
    </row>
    <row r="753">
      <c r="E753" s="20" t="n">
        <v>745</v>
      </c>
      <c r="F753" s="32">
        <f>MAX(0.03,MIN(0.18,NORMINV(RAND(),$C$9,$C$10)))</f>
        <v/>
      </c>
      <c r="G753" s="32">
        <f>MAX(0.02,MIN(0.9,NORMINV(RAND(),$C$11,0.10)))</f>
        <v/>
      </c>
      <c r="H753" s="32">
        <f>MAX(0.02,MIN(0.98,NORMINV(RAND(),$C$13,0.15)))</f>
        <v/>
      </c>
      <c r="I753" s="32">
        <f>MAX(0,NORMINV(RAND(),$C$14,0.033))</f>
        <v/>
      </c>
      <c r="J753" s="33">
        <f>($C$7*$C$8/365)*F753</f>
        <v/>
      </c>
      <c r="K753" s="33">
        <f>$C$7*G753*$C$12*H753</f>
        <v/>
      </c>
      <c r="L753" s="33">
        <f>$C$7*I753*$C$15</f>
        <v/>
      </c>
      <c r="M753" s="33">
        <f>J753-K753-L753</f>
        <v/>
      </c>
    </row>
    <row r="754">
      <c r="E754" s="20" t="n">
        <v>746</v>
      </c>
      <c r="F754" s="32">
        <f>MAX(0.03,MIN(0.18,NORMINV(RAND(),$C$9,$C$10)))</f>
        <v/>
      </c>
      <c r="G754" s="32">
        <f>MAX(0.02,MIN(0.9,NORMINV(RAND(),$C$11,0.10)))</f>
        <v/>
      </c>
      <c r="H754" s="32">
        <f>MAX(0.02,MIN(0.98,NORMINV(RAND(),$C$13,0.15)))</f>
        <v/>
      </c>
      <c r="I754" s="32">
        <f>MAX(0,NORMINV(RAND(),$C$14,0.033))</f>
        <v/>
      </c>
      <c r="J754" s="33">
        <f>($C$7*$C$8/365)*F754</f>
        <v/>
      </c>
      <c r="K754" s="33">
        <f>$C$7*G754*$C$12*H754</f>
        <v/>
      </c>
      <c r="L754" s="33">
        <f>$C$7*I754*$C$15</f>
        <v/>
      </c>
      <c r="M754" s="33">
        <f>J754-K754-L754</f>
        <v/>
      </c>
    </row>
    <row r="755">
      <c r="E755" s="20" t="n">
        <v>747</v>
      </c>
      <c r="F755" s="32">
        <f>MAX(0.03,MIN(0.18,NORMINV(RAND(),$C$9,$C$10)))</f>
        <v/>
      </c>
      <c r="G755" s="32">
        <f>MAX(0.02,MIN(0.9,NORMINV(RAND(),$C$11,0.10)))</f>
        <v/>
      </c>
      <c r="H755" s="32">
        <f>MAX(0.02,MIN(0.98,NORMINV(RAND(),$C$13,0.15)))</f>
        <v/>
      </c>
      <c r="I755" s="32">
        <f>MAX(0,NORMINV(RAND(),$C$14,0.033))</f>
        <v/>
      </c>
      <c r="J755" s="33">
        <f>($C$7*$C$8/365)*F755</f>
        <v/>
      </c>
      <c r="K755" s="33">
        <f>$C$7*G755*$C$12*H755</f>
        <v/>
      </c>
      <c r="L755" s="33">
        <f>$C$7*I755*$C$15</f>
        <v/>
      </c>
      <c r="M755" s="33">
        <f>J755-K755-L755</f>
        <v/>
      </c>
    </row>
    <row r="756">
      <c r="E756" s="20" t="n">
        <v>748</v>
      </c>
      <c r="F756" s="32">
        <f>MAX(0.03,MIN(0.18,NORMINV(RAND(),$C$9,$C$10)))</f>
        <v/>
      </c>
      <c r="G756" s="32">
        <f>MAX(0.02,MIN(0.9,NORMINV(RAND(),$C$11,0.10)))</f>
        <v/>
      </c>
      <c r="H756" s="32">
        <f>MAX(0.02,MIN(0.98,NORMINV(RAND(),$C$13,0.15)))</f>
        <v/>
      </c>
      <c r="I756" s="32">
        <f>MAX(0,NORMINV(RAND(),$C$14,0.033))</f>
        <v/>
      </c>
      <c r="J756" s="33">
        <f>($C$7*$C$8/365)*F756</f>
        <v/>
      </c>
      <c r="K756" s="33">
        <f>$C$7*G756*$C$12*H756</f>
        <v/>
      </c>
      <c r="L756" s="33">
        <f>$C$7*I756*$C$15</f>
        <v/>
      </c>
      <c r="M756" s="33">
        <f>J756-K756-L756</f>
        <v/>
      </c>
    </row>
    <row r="757">
      <c r="E757" s="20" t="n">
        <v>749</v>
      </c>
      <c r="F757" s="32">
        <f>MAX(0.03,MIN(0.18,NORMINV(RAND(),$C$9,$C$10)))</f>
        <v/>
      </c>
      <c r="G757" s="32">
        <f>MAX(0.02,MIN(0.9,NORMINV(RAND(),$C$11,0.10)))</f>
        <v/>
      </c>
      <c r="H757" s="32">
        <f>MAX(0.02,MIN(0.98,NORMINV(RAND(),$C$13,0.15)))</f>
        <v/>
      </c>
      <c r="I757" s="32">
        <f>MAX(0,NORMINV(RAND(),$C$14,0.033))</f>
        <v/>
      </c>
      <c r="J757" s="33">
        <f>($C$7*$C$8/365)*F757</f>
        <v/>
      </c>
      <c r="K757" s="33">
        <f>$C$7*G757*$C$12*H757</f>
        <v/>
      </c>
      <c r="L757" s="33">
        <f>$C$7*I757*$C$15</f>
        <v/>
      </c>
      <c r="M757" s="33">
        <f>J757-K757-L757</f>
        <v/>
      </c>
    </row>
    <row r="758">
      <c r="E758" s="20" t="n">
        <v>750</v>
      </c>
      <c r="F758" s="32">
        <f>MAX(0.03,MIN(0.18,NORMINV(RAND(),$C$9,$C$10)))</f>
        <v/>
      </c>
      <c r="G758" s="32">
        <f>MAX(0.02,MIN(0.9,NORMINV(RAND(),$C$11,0.10)))</f>
        <v/>
      </c>
      <c r="H758" s="32">
        <f>MAX(0.02,MIN(0.98,NORMINV(RAND(),$C$13,0.15)))</f>
        <v/>
      </c>
      <c r="I758" s="32">
        <f>MAX(0,NORMINV(RAND(),$C$14,0.033))</f>
        <v/>
      </c>
      <c r="J758" s="33">
        <f>($C$7*$C$8/365)*F758</f>
        <v/>
      </c>
      <c r="K758" s="33">
        <f>$C$7*G758*$C$12*H758</f>
        <v/>
      </c>
      <c r="L758" s="33">
        <f>$C$7*I758*$C$15</f>
        <v/>
      </c>
      <c r="M758" s="33">
        <f>J758-K758-L758</f>
        <v/>
      </c>
    </row>
    <row r="759">
      <c r="E759" s="20" t="n">
        <v>751</v>
      </c>
      <c r="F759" s="32">
        <f>MAX(0.03,MIN(0.18,NORMINV(RAND(),$C$9,$C$10)))</f>
        <v/>
      </c>
      <c r="G759" s="32">
        <f>MAX(0.02,MIN(0.9,NORMINV(RAND(),$C$11,0.10)))</f>
        <v/>
      </c>
      <c r="H759" s="32">
        <f>MAX(0.02,MIN(0.98,NORMINV(RAND(),$C$13,0.15)))</f>
        <v/>
      </c>
      <c r="I759" s="32">
        <f>MAX(0,NORMINV(RAND(),$C$14,0.033))</f>
        <v/>
      </c>
      <c r="J759" s="33">
        <f>($C$7*$C$8/365)*F759</f>
        <v/>
      </c>
      <c r="K759" s="33">
        <f>$C$7*G759*$C$12*H759</f>
        <v/>
      </c>
      <c r="L759" s="33">
        <f>$C$7*I759*$C$15</f>
        <v/>
      </c>
      <c r="M759" s="33">
        <f>J759-K759-L759</f>
        <v/>
      </c>
    </row>
    <row r="760">
      <c r="E760" s="20" t="n">
        <v>752</v>
      </c>
      <c r="F760" s="32">
        <f>MAX(0.03,MIN(0.18,NORMINV(RAND(),$C$9,$C$10)))</f>
        <v/>
      </c>
      <c r="G760" s="32">
        <f>MAX(0.02,MIN(0.9,NORMINV(RAND(),$C$11,0.10)))</f>
        <v/>
      </c>
      <c r="H760" s="32">
        <f>MAX(0.02,MIN(0.98,NORMINV(RAND(),$C$13,0.15)))</f>
        <v/>
      </c>
      <c r="I760" s="32">
        <f>MAX(0,NORMINV(RAND(),$C$14,0.033))</f>
        <v/>
      </c>
      <c r="J760" s="33">
        <f>($C$7*$C$8/365)*F760</f>
        <v/>
      </c>
      <c r="K760" s="33">
        <f>$C$7*G760*$C$12*H760</f>
        <v/>
      </c>
      <c r="L760" s="33">
        <f>$C$7*I760*$C$15</f>
        <v/>
      </c>
      <c r="M760" s="33">
        <f>J760-K760-L760</f>
        <v/>
      </c>
    </row>
    <row r="761">
      <c r="E761" s="20" t="n">
        <v>753</v>
      </c>
      <c r="F761" s="32">
        <f>MAX(0.03,MIN(0.18,NORMINV(RAND(),$C$9,$C$10)))</f>
        <v/>
      </c>
      <c r="G761" s="32">
        <f>MAX(0.02,MIN(0.9,NORMINV(RAND(),$C$11,0.10)))</f>
        <v/>
      </c>
      <c r="H761" s="32">
        <f>MAX(0.02,MIN(0.98,NORMINV(RAND(),$C$13,0.15)))</f>
        <v/>
      </c>
      <c r="I761" s="32">
        <f>MAX(0,NORMINV(RAND(),$C$14,0.033))</f>
        <v/>
      </c>
      <c r="J761" s="33">
        <f>($C$7*$C$8/365)*F761</f>
        <v/>
      </c>
      <c r="K761" s="33">
        <f>$C$7*G761*$C$12*H761</f>
        <v/>
      </c>
      <c r="L761" s="33">
        <f>$C$7*I761*$C$15</f>
        <v/>
      </c>
      <c r="M761" s="33">
        <f>J761-K761-L761</f>
        <v/>
      </c>
    </row>
    <row r="762">
      <c r="E762" s="20" t="n">
        <v>754</v>
      </c>
      <c r="F762" s="32">
        <f>MAX(0.03,MIN(0.18,NORMINV(RAND(),$C$9,$C$10)))</f>
        <v/>
      </c>
      <c r="G762" s="32">
        <f>MAX(0.02,MIN(0.9,NORMINV(RAND(),$C$11,0.10)))</f>
        <v/>
      </c>
      <c r="H762" s="32">
        <f>MAX(0.02,MIN(0.98,NORMINV(RAND(),$C$13,0.15)))</f>
        <v/>
      </c>
      <c r="I762" s="32">
        <f>MAX(0,NORMINV(RAND(),$C$14,0.033))</f>
        <v/>
      </c>
      <c r="J762" s="33">
        <f>($C$7*$C$8/365)*F762</f>
        <v/>
      </c>
      <c r="K762" s="33">
        <f>$C$7*G762*$C$12*H762</f>
        <v/>
      </c>
      <c r="L762" s="33">
        <f>$C$7*I762*$C$15</f>
        <v/>
      </c>
      <c r="M762" s="33">
        <f>J762-K762-L762</f>
        <v/>
      </c>
    </row>
    <row r="763">
      <c r="E763" s="20" t="n">
        <v>755</v>
      </c>
      <c r="F763" s="32">
        <f>MAX(0.03,MIN(0.18,NORMINV(RAND(),$C$9,$C$10)))</f>
        <v/>
      </c>
      <c r="G763" s="32">
        <f>MAX(0.02,MIN(0.9,NORMINV(RAND(),$C$11,0.10)))</f>
        <v/>
      </c>
      <c r="H763" s="32">
        <f>MAX(0.02,MIN(0.98,NORMINV(RAND(),$C$13,0.15)))</f>
        <v/>
      </c>
      <c r="I763" s="32">
        <f>MAX(0,NORMINV(RAND(),$C$14,0.033))</f>
        <v/>
      </c>
      <c r="J763" s="33">
        <f>($C$7*$C$8/365)*F763</f>
        <v/>
      </c>
      <c r="K763" s="33">
        <f>$C$7*G763*$C$12*H763</f>
        <v/>
      </c>
      <c r="L763" s="33">
        <f>$C$7*I763*$C$15</f>
        <v/>
      </c>
      <c r="M763" s="33">
        <f>J763-K763-L763</f>
        <v/>
      </c>
    </row>
    <row r="764">
      <c r="E764" s="20" t="n">
        <v>756</v>
      </c>
      <c r="F764" s="32">
        <f>MAX(0.03,MIN(0.18,NORMINV(RAND(),$C$9,$C$10)))</f>
        <v/>
      </c>
      <c r="G764" s="32">
        <f>MAX(0.02,MIN(0.9,NORMINV(RAND(),$C$11,0.10)))</f>
        <v/>
      </c>
      <c r="H764" s="32">
        <f>MAX(0.02,MIN(0.98,NORMINV(RAND(),$C$13,0.15)))</f>
        <v/>
      </c>
      <c r="I764" s="32">
        <f>MAX(0,NORMINV(RAND(),$C$14,0.033))</f>
        <v/>
      </c>
      <c r="J764" s="33">
        <f>($C$7*$C$8/365)*F764</f>
        <v/>
      </c>
      <c r="K764" s="33">
        <f>$C$7*G764*$C$12*H764</f>
        <v/>
      </c>
      <c r="L764" s="33">
        <f>$C$7*I764*$C$15</f>
        <v/>
      </c>
      <c r="M764" s="33">
        <f>J764-K764-L764</f>
        <v/>
      </c>
    </row>
    <row r="765">
      <c r="E765" s="20" t="n">
        <v>757</v>
      </c>
      <c r="F765" s="32">
        <f>MAX(0.03,MIN(0.18,NORMINV(RAND(),$C$9,$C$10)))</f>
        <v/>
      </c>
      <c r="G765" s="32">
        <f>MAX(0.02,MIN(0.9,NORMINV(RAND(),$C$11,0.10)))</f>
        <v/>
      </c>
      <c r="H765" s="32">
        <f>MAX(0.02,MIN(0.98,NORMINV(RAND(),$C$13,0.15)))</f>
        <v/>
      </c>
      <c r="I765" s="32">
        <f>MAX(0,NORMINV(RAND(),$C$14,0.033))</f>
        <v/>
      </c>
      <c r="J765" s="33">
        <f>($C$7*$C$8/365)*F765</f>
        <v/>
      </c>
      <c r="K765" s="33">
        <f>$C$7*G765*$C$12*H765</f>
        <v/>
      </c>
      <c r="L765" s="33">
        <f>$C$7*I765*$C$15</f>
        <v/>
      </c>
      <c r="M765" s="33">
        <f>J765-K765-L765</f>
        <v/>
      </c>
    </row>
    <row r="766">
      <c r="E766" s="20" t="n">
        <v>758</v>
      </c>
      <c r="F766" s="32">
        <f>MAX(0.03,MIN(0.18,NORMINV(RAND(),$C$9,$C$10)))</f>
        <v/>
      </c>
      <c r="G766" s="32">
        <f>MAX(0.02,MIN(0.9,NORMINV(RAND(),$C$11,0.10)))</f>
        <v/>
      </c>
      <c r="H766" s="32">
        <f>MAX(0.02,MIN(0.98,NORMINV(RAND(),$C$13,0.15)))</f>
        <v/>
      </c>
      <c r="I766" s="32">
        <f>MAX(0,NORMINV(RAND(),$C$14,0.033))</f>
        <v/>
      </c>
      <c r="J766" s="33">
        <f>($C$7*$C$8/365)*F766</f>
        <v/>
      </c>
      <c r="K766" s="33">
        <f>$C$7*G766*$C$12*H766</f>
        <v/>
      </c>
      <c r="L766" s="33">
        <f>$C$7*I766*$C$15</f>
        <v/>
      </c>
      <c r="M766" s="33">
        <f>J766-K766-L766</f>
        <v/>
      </c>
    </row>
    <row r="767">
      <c r="E767" s="20" t="n">
        <v>759</v>
      </c>
      <c r="F767" s="32">
        <f>MAX(0.03,MIN(0.18,NORMINV(RAND(),$C$9,$C$10)))</f>
        <v/>
      </c>
      <c r="G767" s="32">
        <f>MAX(0.02,MIN(0.9,NORMINV(RAND(),$C$11,0.10)))</f>
        <v/>
      </c>
      <c r="H767" s="32">
        <f>MAX(0.02,MIN(0.98,NORMINV(RAND(),$C$13,0.15)))</f>
        <v/>
      </c>
      <c r="I767" s="32">
        <f>MAX(0,NORMINV(RAND(),$C$14,0.033))</f>
        <v/>
      </c>
      <c r="J767" s="33">
        <f>($C$7*$C$8/365)*F767</f>
        <v/>
      </c>
      <c r="K767" s="33">
        <f>$C$7*G767*$C$12*H767</f>
        <v/>
      </c>
      <c r="L767" s="33">
        <f>$C$7*I767*$C$15</f>
        <v/>
      </c>
      <c r="M767" s="33">
        <f>J767-K767-L767</f>
        <v/>
      </c>
    </row>
    <row r="768">
      <c r="E768" s="20" t="n">
        <v>760</v>
      </c>
      <c r="F768" s="32">
        <f>MAX(0.03,MIN(0.18,NORMINV(RAND(),$C$9,$C$10)))</f>
        <v/>
      </c>
      <c r="G768" s="32">
        <f>MAX(0.02,MIN(0.9,NORMINV(RAND(),$C$11,0.10)))</f>
        <v/>
      </c>
      <c r="H768" s="32">
        <f>MAX(0.02,MIN(0.98,NORMINV(RAND(),$C$13,0.15)))</f>
        <v/>
      </c>
      <c r="I768" s="32">
        <f>MAX(0,NORMINV(RAND(),$C$14,0.033))</f>
        <v/>
      </c>
      <c r="J768" s="33">
        <f>($C$7*$C$8/365)*F768</f>
        <v/>
      </c>
      <c r="K768" s="33">
        <f>$C$7*G768*$C$12*H768</f>
        <v/>
      </c>
      <c r="L768" s="33">
        <f>$C$7*I768*$C$15</f>
        <v/>
      </c>
      <c r="M768" s="33">
        <f>J768-K768-L768</f>
        <v/>
      </c>
    </row>
    <row r="769">
      <c r="E769" s="20" t="n">
        <v>761</v>
      </c>
      <c r="F769" s="32">
        <f>MAX(0.03,MIN(0.18,NORMINV(RAND(),$C$9,$C$10)))</f>
        <v/>
      </c>
      <c r="G769" s="32">
        <f>MAX(0.02,MIN(0.9,NORMINV(RAND(),$C$11,0.10)))</f>
        <v/>
      </c>
      <c r="H769" s="32">
        <f>MAX(0.02,MIN(0.98,NORMINV(RAND(),$C$13,0.15)))</f>
        <v/>
      </c>
      <c r="I769" s="32">
        <f>MAX(0,NORMINV(RAND(),$C$14,0.033))</f>
        <v/>
      </c>
      <c r="J769" s="33">
        <f>($C$7*$C$8/365)*F769</f>
        <v/>
      </c>
      <c r="K769" s="33">
        <f>$C$7*G769*$C$12*H769</f>
        <v/>
      </c>
      <c r="L769" s="33">
        <f>$C$7*I769*$C$15</f>
        <v/>
      </c>
      <c r="M769" s="33">
        <f>J769-K769-L769</f>
        <v/>
      </c>
    </row>
    <row r="770">
      <c r="E770" s="20" t="n">
        <v>762</v>
      </c>
      <c r="F770" s="32">
        <f>MAX(0.03,MIN(0.18,NORMINV(RAND(),$C$9,$C$10)))</f>
        <v/>
      </c>
      <c r="G770" s="32">
        <f>MAX(0.02,MIN(0.9,NORMINV(RAND(),$C$11,0.10)))</f>
        <v/>
      </c>
      <c r="H770" s="32">
        <f>MAX(0.02,MIN(0.98,NORMINV(RAND(),$C$13,0.15)))</f>
        <v/>
      </c>
      <c r="I770" s="32">
        <f>MAX(0,NORMINV(RAND(),$C$14,0.033))</f>
        <v/>
      </c>
      <c r="J770" s="33">
        <f>($C$7*$C$8/365)*F770</f>
        <v/>
      </c>
      <c r="K770" s="33">
        <f>$C$7*G770*$C$12*H770</f>
        <v/>
      </c>
      <c r="L770" s="33">
        <f>$C$7*I770*$C$15</f>
        <v/>
      </c>
      <c r="M770" s="33">
        <f>J770-K770-L770</f>
        <v/>
      </c>
    </row>
    <row r="771">
      <c r="E771" s="20" t="n">
        <v>763</v>
      </c>
      <c r="F771" s="32">
        <f>MAX(0.03,MIN(0.18,NORMINV(RAND(),$C$9,$C$10)))</f>
        <v/>
      </c>
      <c r="G771" s="32">
        <f>MAX(0.02,MIN(0.9,NORMINV(RAND(),$C$11,0.10)))</f>
        <v/>
      </c>
      <c r="H771" s="32">
        <f>MAX(0.02,MIN(0.98,NORMINV(RAND(),$C$13,0.15)))</f>
        <v/>
      </c>
      <c r="I771" s="32">
        <f>MAX(0,NORMINV(RAND(),$C$14,0.033))</f>
        <v/>
      </c>
      <c r="J771" s="33">
        <f>($C$7*$C$8/365)*F771</f>
        <v/>
      </c>
      <c r="K771" s="33">
        <f>$C$7*G771*$C$12*H771</f>
        <v/>
      </c>
      <c r="L771" s="33">
        <f>$C$7*I771*$C$15</f>
        <v/>
      </c>
      <c r="M771" s="33">
        <f>J771-K771-L771</f>
        <v/>
      </c>
    </row>
    <row r="772">
      <c r="E772" s="20" t="n">
        <v>764</v>
      </c>
      <c r="F772" s="32">
        <f>MAX(0.03,MIN(0.18,NORMINV(RAND(),$C$9,$C$10)))</f>
        <v/>
      </c>
      <c r="G772" s="32">
        <f>MAX(0.02,MIN(0.9,NORMINV(RAND(),$C$11,0.10)))</f>
        <v/>
      </c>
      <c r="H772" s="32">
        <f>MAX(0.02,MIN(0.98,NORMINV(RAND(),$C$13,0.15)))</f>
        <v/>
      </c>
      <c r="I772" s="32">
        <f>MAX(0,NORMINV(RAND(),$C$14,0.033))</f>
        <v/>
      </c>
      <c r="J772" s="33">
        <f>($C$7*$C$8/365)*F772</f>
        <v/>
      </c>
      <c r="K772" s="33">
        <f>$C$7*G772*$C$12*H772</f>
        <v/>
      </c>
      <c r="L772" s="33">
        <f>$C$7*I772*$C$15</f>
        <v/>
      </c>
      <c r="M772" s="33">
        <f>J772-K772-L772</f>
        <v/>
      </c>
    </row>
    <row r="773">
      <c r="E773" s="20" t="n">
        <v>765</v>
      </c>
      <c r="F773" s="32">
        <f>MAX(0.03,MIN(0.18,NORMINV(RAND(),$C$9,$C$10)))</f>
        <v/>
      </c>
      <c r="G773" s="32">
        <f>MAX(0.02,MIN(0.9,NORMINV(RAND(),$C$11,0.10)))</f>
        <v/>
      </c>
      <c r="H773" s="32">
        <f>MAX(0.02,MIN(0.98,NORMINV(RAND(),$C$13,0.15)))</f>
        <v/>
      </c>
      <c r="I773" s="32">
        <f>MAX(0,NORMINV(RAND(),$C$14,0.033))</f>
        <v/>
      </c>
      <c r="J773" s="33">
        <f>($C$7*$C$8/365)*F773</f>
        <v/>
      </c>
      <c r="K773" s="33">
        <f>$C$7*G773*$C$12*H773</f>
        <v/>
      </c>
      <c r="L773" s="33">
        <f>$C$7*I773*$C$15</f>
        <v/>
      </c>
      <c r="M773" s="33">
        <f>J773-K773-L773</f>
        <v/>
      </c>
    </row>
    <row r="774">
      <c r="E774" s="20" t="n">
        <v>766</v>
      </c>
      <c r="F774" s="32">
        <f>MAX(0.03,MIN(0.18,NORMINV(RAND(),$C$9,$C$10)))</f>
        <v/>
      </c>
      <c r="G774" s="32">
        <f>MAX(0.02,MIN(0.9,NORMINV(RAND(),$C$11,0.10)))</f>
        <v/>
      </c>
      <c r="H774" s="32">
        <f>MAX(0.02,MIN(0.98,NORMINV(RAND(),$C$13,0.15)))</f>
        <v/>
      </c>
      <c r="I774" s="32">
        <f>MAX(0,NORMINV(RAND(),$C$14,0.033))</f>
        <v/>
      </c>
      <c r="J774" s="33">
        <f>($C$7*$C$8/365)*F774</f>
        <v/>
      </c>
      <c r="K774" s="33">
        <f>$C$7*G774*$C$12*H774</f>
        <v/>
      </c>
      <c r="L774" s="33">
        <f>$C$7*I774*$C$15</f>
        <v/>
      </c>
      <c r="M774" s="33">
        <f>J774-K774-L774</f>
        <v/>
      </c>
    </row>
    <row r="775">
      <c r="E775" s="20" t="n">
        <v>767</v>
      </c>
      <c r="F775" s="32">
        <f>MAX(0.03,MIN(0.18,NORMINV(RAND(),$C$9,$C$10)))</f>
        <v/>
      </c>
      <c r="G775" s="32">
        <f>MAX(0.02,MIN(0.9,NORMINV(RAND(),$C$11,0.10)))</f>
        <v/>
      </c>
      <c r="H775" s="32">
        <f>MAX(0.02,MIN(0.98,NORMINV(RAND(),$C$13,0.15)))</f>
        <v/>
      </c>
      <c r="I775" s="32">
        <f>MAX(0,NORMINV(RAND(),$C$14,0.033))</f>
        <v/>
      </c>
      <c r="J775" s="33">
        <f>($C$7*$C$8/365)*F775</f>
        <v/>
      </c>
      <c r="K775" s="33">
        <f>$C$7*G775*$C$12*H775</f>
        <v/>
      </c>
      <c r="L775" s="33">
        <f>$C$7*I775*$C$15</f>
        <v/>
      </c>
      <c r="M775" s="33">
        <f>J775-K775-L775</f>
        <v/>
      </c>
    </row>
    <row r="776">
      <c r="E776" s="20" t="n">
        <v>768</v>
      </c>
      <c r="F776" s="32">
        <f>MAX(0.03,MIN(0.18,NORMINV(RAND(),$C$9,$C$10)))</f>
        <v/>
      </c>
      <c r="G776" s="32">
        <f>MAX(0.02,MIN(0.9,NORMINV(RAND(),$C$11,0.10)))</f>
        <v/>
      </c>
      <c r="H776" s="32">
        <f>MAX(0.02,MIN(0.98,NORMINV(RAND(),$C$13,0.15)))</f>
        <v/>
      </c>
      <c r="I776" s="32">
        <f>MAX(0,NORMINV(RAND(),$C$14,0.033))</f>
        <v/>
      </c>
      <c r="J776" s="33">
        <f>($C$7*$C$8/365)*F776</f>
        <v/>
      </c>
      <c r="K776" s="33">
        <f>$C$7*G776*$C$12*H776</f>
        <v/>
      </c>
      <c r="L776" s="33">
        <f>$C$7*I776*$C$15</f>
        <v/>
      </c>
      <c r="M776" s="33">
        <f>J776-K776-L776</f>
        <v/>
      </c>
    </row>
    <row r="777">
      <c r="E777" s="20" t="n">
        <v>769</v>
      </c>
      <c r="F777" s="32">
        <f>MAX(0.03,MIN(0.18,NORMINV(RAND(),$C$9,$C$10)))</f>
        <v/>
      </c>
      <c r="G777" s="32">
        <f>MAX(0.02,MIN(0.9,NORMINV(RAND(),$C$11,0.10)))</f>
        <v/>
      </c>
      <c r="H777" s="32">
        <f>MAX(0.02,MIN(0.98,NORMINV(RAND(),$C$13,0.15)))</f>
        <v/>
      </c>
      <c r="I777" s="32">
        <f>MAX(0,NORMINV(RAND(),$C$14,0.033))</f>
        <v/>
      </c>
      <c r="J777" s="33">
        <f>($C$7*$C$8/365)*F777</f>
        <v/>
      </c>
      <c r="K777" s="33">
        <f>$C$7*G777*$C$12*H777</f>
        <v/>
      </c>
      <c r="L777" s="33">
        <f>$C$7*I777*$C$15</f>
        <v/>
      </c>
      <c r="M777" s="33">
        <f>J777-K777-L777</f>
        <v/>
      </c>
    </row>
    <row r="778">
      <c r="E778" s="20" t="n">
        <v>770</v>
      </c>
      <c r="F778" s="32">
        <f>MAX(0.03,MIN(0.18,NORMINV(RAND(),$C$9,$C$10)))</f>
        <v/>
      </c>
      <c r="G778" s="32">
        <f>MAX(0.02,MIN(0.9,NORMINV(RAND(),$C$11,0.10)))</f>
        <v/>
      </c>
      <c r="H778" s="32">
        <f>MAX(0.02,MIN(0.98,NORMINV(RAND(),$C$13,0.15)))</f>
        <v/>
      </c>
      <c r="I778" s="32">
        <f>MAX(0,NORMINV(RAND(),$C$14,0.033))</f>
        <v/>
      </c>
      <c r="J778" s="33">
        <f>($C$7*$C$8/365)*F778</f>
        <v/>
      </c>
      <c r="K778" s="33">
        <f>$C$7*G778*$C$12*H778</f>
        <v/>
      </c>
      <c r="L778" s="33">
        <f>$C$7*I778*$C$15</f>
        <v/>
      </c>
      <c r="M778" s="33">
        <f>J778-K778-L778</f>
        <v/>
      </c>
    </row>
    <row r="779">
      <c r="E779" s="20" t="n">
        <v>771</v>
      </c>
      <c r="F779" s="32">
        <f>MAX(0.03,MIN(0.18,NORMINV(RAND(),$C$9,$C$10)))</f>
        <v/>
      </c>
      <c r="G779" s="32">
        <f>MAX(0.02,MIN(0.9,NORMINV(RAND(),$C$11,0.10)))</f>
        <v/>
      </c>
      <c r="H779" s="32">
        <f>MAX(0.02,MIN(0.98,NORMINV(RAND(),$C$13,0.15)))</f>
        <v/>
      </c>
      <c r="I779" s="32">
        <f>MAX(0,NORMINV(RAND(),$C$14,0.033))</f>
        <v/>
      </c>
      <c r="J779" s="33">
        <f>($C$7*$C$8/365)*F779</f>
        <v/>
      </c>
      <c r="K779" s="33">
        <f>$C$7*G779*$C$12*H779</f>
        <v/>
      </c>
      <c r="L779" s="33">
        <f>$C$7*I779*$C$15</f>
        <v/>
      </c>
      <c r="M779" s="33">
        <f>J779-K779-L779</f>
        <v/>
      </c>
    </row>
    <row r="780">
      <c r="E780" s="20" t="n">
        <v>772</v>
      </c>
      <c r="F780" s="32">
        <f>MAX(0.03,MIN(0.18,NORMINV(RAND(),$C$9,$C$10)))</f>
        <v/>
      </c>
      <c r="G780" s="32">
        <f>MAX(0.02,MIN(0.9,NORMINV(RAND(),$C$11,0.10)))</f>
        <v/>
      </c>
      <c r="H780" s="32">
        <f>MAX(0.02,MIN(0.98,NORMINV(RAND(),$C$13,0.15)))</f>
        <v/>
      </c>
      <c r="I780" s="32">
        <f>MAX(0,NORMINV(RAND(),$C$14,0.033))</f>
        <v/>
      </c>
      <c r="J780" s="33">
        <f>($C$7*$C$8/365)*F780</f>
        <v/>
      </c>
      <c r="K780" s="33">
        <f>$C$7*G780*$C$12*H780</f>
        <v/>
      </c>
      <c r="L780" s="33">
        <f>$C$7*I780*$C$15</f>
        <v/>
      </c>
      <c r="M780" s="33">
        <f>J780-K780-L780</f>
        <v/>
      </c>
    </row>
    <row r="781">
      <c r="E781" s="20" t="n">
        <v>773</v>
      </c>
      <c r="F781" s="32">
        <f>MAX(0.03,MIN(0.18,NORMINV(RAND(),$C$9,$C$10)))</f>
        <v/>
      </c>
      <c r="G781" s="32">
        <f>MAX(0.02,MIN(0.9,NORMINV(RAND(),$C$11,0.10)))</f>
        <v/>
      </c>
      <c r="H781" s="32">
        <f>MAX(0.02,MIN(0.98,NORMINV(RAND(),$C$13,0.15)))</f>
        <v/>
      </c>
      <c r="I781" s="32">
        <f>MAX(0,NORMINV(RAND(),$C$14,0.033))</f>
        <v/>
      </c>
      <c r="J781" s="33">
        <f>($C$7*$C$8/365)*F781</f>
        <v/>
      </c>
      <c r="K781" s="33">
        <f>$C$7*G781*$C$12*H781</f>
        <v/>
      </c>
      <c r="L781" s="33">
        <f>$C$7*I781*$C$15</f>
        <v/>
      </c>
      <c r="M781" s="33">
        <f>J781-K781-L781</f>
        <v/>
      </c>
    </row>
    <row r="782">
      <c r="E782" s="20" t="n">
        <v>774</v>
      </c>
      <c r="F782" s="32">
        <f>MAX(0.03,MIN(0.18,NORMINV(RAND(),$C$9,$C$10)))</f>
        <v/>
      </c>
      <c r="G782" s="32">
        <f>MAX(0.02,MIN(0.9,NORMINV(RAND(),$C$11,0.10)))</f>
        <v/>
      </c>
      <c r="H782" s="32">
        <f>MAX(0.02,MIN(0.98,NORMINV(RAND(),$C$13,0.15)))</f>
        <v/>
      </c>
      <c r="I782" s="32">
        <f>MAX(0,NORMINV(RAND(),$C$14,0.033))</f>
        <v/>
      </c>
      <c r="J782" s="33">
        <f>($C$7*$C$8/365)*F782</f>
        <v/>
      </c>
      <c r="K782" s="33">
        <f>$C$7*G782*$C$12*H782</f>
        <v/>
      </c>
      <c r="L782" s="33">
        <f>$C$7*I782*$C$15</f>
        <v/>
      </c>
      <c r="M782" s="33">
        <f>J782-K782-L782</f>
        <v/>
      </c>
    </row>
    <row r="783">
      <c r="E783" s="20" t="n">
        <v>775</v>
      </c>
      <c r="F783" s="32">
        <f>MAX(0.03,MIN(0.18,NORMINV(RAND(),$C$9,$C$10)))</f>
        <v/>
      </c>
      <c r="G783" s="32">
        <f>MAX(0.02,MIN(0.9,NORMINV(RAND(),$C$11,0.10)))</f>
        <v/>
      </c>
      <c r="H783" s="32">
        <f>MAX(0.02,MIN(0.98,NORMINV(RAND(),$C$13,0.15)))</f>
        <v/>
      </c>
      <c r="I783" s="32">
        <f>MAX(0,NORMINV(RAND(),$C$14,0.033))</f>
        <v/>
      </c>
      <c r="J783" s="33">
        <f>($C$7*$C$8/365)*F783</f>
        <v/>
      </c>
      <c r="K783" s="33">
        <f>$C$7*G783*$C$12*H783</f>
        <v/>
      </c>
      <c r="L783" s="33">
        <f>$C$7*I783*$C$15</f>
        <v/>
      </c>
      <c r="M783" s="33">
        <f>J783-K783-L783</f>
        <v/>
      </c>
    </row>
    <row r="784">
      <c r="E784" s="20" t="n">
        <v>776</v>
      </c>
      <c r="F784" s="32">
        <f>MAX(0.03,MIN(0.18,NORMINV(RAND(),$C$9,$C$10)))</f>
        <v/>
      </c>
      <c r="G784" s="32">
        <f>MAX(0.02,MIN(0.9,NORMINV(RAND(),$C$11,0.10)))</f>
        <v/>
      </c>
      <c r="H784" s="32">
        <f>MAX(0.02,MIN(0.98,NORMINV(RAND(),$C$13,0.15)))</f>
        <v/>
      </c>
      <c r="I784" s="32">
        <f>MAX(0,NORMINV(RAND(),$C$14,0.033))</f>
        <v/>
      </c>
      <c r="J784" s="33">
        <f>($C$7*$C$8/365)*F784</f>
        <v/>
      </c>
      <c r="K784" s="33">
        <f>$C$7*G784*$C$12*H784</f>
        <v/>
      </c>
      <c r="L784" s="33">
        <f>$C$7*I784*$C$15</f>
        <v/>
      </c>
      <c r="M784" s="33">
        <f>J784-K784-L784</f>
        <v/>
      </c>
    </row>
    <row r="785">
      <c r="E785" s="20" t="n">
        <v>777</v>
      </c>
      <c r="F785" s="32">
        <f>MAX(0.03,MIN(0.18,NORMINV(RAND(),$C$9,$C$10)))</f>
        <v/>
      </c>
      <c r="G785" s="32">
        <f>MAX(0.02,MIN(0.9,NORMINV(RAND(),$C$11,0.10)))</f>
        <v/>
      </c>
      <c r="H785" s="32">
        <f>MAX(0.02,MIN(0.98,NORMINV(RAND(),$C$13,0.15)))</f>
        <v/>
      </c>
      <c r="I785" s="32">
        <f>MAX(0,NORMINV(RAND(),$C$14,0.033))</f>
        <v/>
      </c>
      <c r="J785" s="33">
        <f>($C$7*$C$8/365)*F785</f>
        <v/>
      </c>
      <c r="K785" s="33">
        <f>$C$7*G785*$C$12*H785</f>
        <v/>
      </c>
      <c r="L785" s="33">
        <f>$C$7*I785*$C$15</f>
        <v/>
      </c>
      <c r="M785" s="33">
        <f>J785-K785-L785</f>
        <v/>
      </c>
    </row>
    <row r="786">
      <c r="E786" s="20" t="n">
        <v>778</v>
      </c>
      <c r="F786" s="32">
        <f>MAX(0.03,MIN(0.18,NORMINV(RAND(),$C$9,$C$10)))</f>
        <v/>
      </c>
      <c r="G786" s="32">
        <f>MAX(0.02,MIN(0.9,NORMINV(RAND(),$C$11,0.10)))</f>
        <v/>
      </c>
      <c r="H786" s="32">
        <f>MAX(0.02,MIN(0.98,NORMINV(RAND(),$C$13,0.15)))</f>
        <v/>
      </c>
      <c r="I786" s="32">
        <f>MAX(0,NORMINV(RAND(),$C$14,0.033))</f>
        <v/>
      </c>
      <c r="J786" s="33">
        <f>($C$7*$C$8/365)*F786</f>
        <v/>
      </c>
      <c r="K786" s="33">
        <f>$C$7*G786*$C$12*H786</f>
        <v/>
      </c>
      <c r="L786" s="33">
        <f>$C$7*I786*$C$15</f>
        <v/>
      </c>
      <c r="M786" s="33">
        <f>J786-K786-L786</f>
        <v/>
      </c>
    </row>
    <row r="787">
      <c r="E787" s="20" t="n">
        <v>779</v>
      </c>
      <c r="F787" s="32">
        <f>MAX(0.03,MIN(0.18,NORMINV(RAND(),$C$9,$C$10)))</f>
        <v/>
      </c>
      <c r="G787" s="32">
        <f>MAX(0.02,MIN(0.9,NORMINV(RAND(),$C$11,0.10)))</f>
        <v/>
      </c>
      <c r="H787" s="32">
        <f>MAX(0.02,MIN(0.98,NORMINV(RAND(),$C$13,0.15)))</f>
        <v/>
      </c>
      <c r="I787" s="32">
        <f>MAX(0,NORMINV(RAND(),$C$14,0.033))</f>
        <v/>
      </c>
      <c r="J787" s="33">
        <f>($C$7*$C$8/365)*F787</f>
        <v/>
      </c>
      <c r="K787" s="33">
        <f>$C$7*G787*$C$12*H787</f>
        <v/>
      </c>
      <c r="L787" s="33">
        <f>$C$7*I787*$C$15</f>
        <v/>
      </c>
      <c r="M787" s="33">
        <f>J787-K787-L787</f>
        <v/>
      </c>
    </row>
    <row r="788">
      <c r="E788" s="20" t="n">
        <v>780</v>
      </c>
      <c r="F788" s="32">
        <f>MAX(0.03,MIN(0.18,NORMINV(RAND(),$C$9,$C$10)))</f>
        <v/>
      </c>
      <c r="G788" s="32">
        <f>MAX(0.02,MIN(0.9,NORMINV(RAND(),$C$11,0.10)))</f>
        <v/>
      </c>
      <c r="H788" s="32">
        <f>MAX(0.02,MIN(0.98,NORMINV(RAND(),$C$13,0.15)))</f>
        <v/>
      </c>
      <c r="I788" s="32">
        <f>MAX(0,NORMINV(RAND(),$C$14,0.033))</f>
        <v/>
      </c>
      <c r="J788" s="33">
        <f>($C$7*$C$8/365)*F788</f>
        <v/>
      </c>
      <c r="K788" s="33">
        <f>$C$7*G788*$C$12*H788</f>
        <v/>
      </c>
      <c r="L788" s="33">
        <f>$C$7*I788*$C$15</f>
        <v/>
      </c>
      <c r="M788" s="33">
        <f>J788-K788-L788</f>
        <v/>
      </c>
    </row>
    <row r="789">
      <c r="E789" s="20" t="n">
        <v>781</v>
      </c>
      <c r="F789" s="32">
        <f>MAX(0.03,MIN(0.18,NORMINV(RAND(),$C$9,$C$10)))</f>
        <v/>
      </c>
      <c r="G789" s="32">
        <f>MAX(0.02,MIN(0.9,NORMINV(RAND(),$C$11,0.10)))</f>
        <v/>
      </c>
      <c r="H789" s="32">
        <f>MAX(0.02,MIN(0.98,NORMINV(RAND(),$C$13,0.15)))</f>
        <v/>
      </c>
      <c r="I789" s="32">
        <f>MAX(0,NORMINV(RAND(),$C$14,0.033))</f>
        <v/>
      </c>
      <c r="J789" s="33">
        <f>($C$7*$C$8/365)*F789</f>
        <v/>
      </c>
      <c r="K789" s="33">
        <f>$C$7*G789*$C$12*H789</f>
        <v/>
      </c>
      <c r="L789" s="33">
        <f>$C$7*I789*$C$15</f>
        <v/>
      </c>
      <c r="M789" s="33">
        <f>J789-K789-L789</f>
        <v/>
      </c>
    </row>
    <row r="790">
      <c r="E790" s="20" t="n">
        <v>782</v>
      </c>
      <c r="F790" s="32">
        <f>MAX(0.03,MIN(0.18,NORMINV(RAND(),$C$9,$C$10)))</f>
        <v/>
      </c>
      <c r="G790" s="32">
        <f>MAX(0.02,MIN(0.9,NORMINV(RAND(),$C$11,0.10)))</f>
        <v/>
      </c>
      <c r="H790" s="32">
        <f>MAX(0.02,MIN(0.98,NORMINV(RAND(),$C$13,0.15)))</f>
        <v/>
      </c>
      <c r="I790" s="32">
        <f>MAX(0,NORMINV(RAND(),$C$14,0.033))</f>
        <v/>
      </c>
      <c r="J790" s="33">
        <f>($C$7*$C$8/365)*F790</f>
        <v/>
      </c>
      <c r="K790" s="33">
        <f>$C$7*G790*$C$12*H790</f>
        <v/>
      </c>
      <c r="L790" s="33">
        <f>$C$7*I790*$C$15</f>
        <v/>
      </c>
      <c r="M790" s="33">
        <f>J790-K790-L790</f>
        <v/>
      </c>
    </row>
    <row r="791">
      <c r="E791" s="20" t="n">
        <v>783</v>
      </c>
      <c r="F791" s="32">
        <f>MAX(0.03,MIN(0.18,NORMINV(RAND(),$C$9,$C$10)))</f>
        <v/>
      </c>
      <c r="G791" s="32">
        <f>MAX(0.02,MIN(0.9,NORMINV(RAND(),$C$11,0.10)))</f>
        <v/>
      </c>
      <c r="H791" s="32">
        <f>MAX(0.02,MIN(0.98,NORMINV(RAND(),$C$13,0.15)))</f>
        <v/>
      </c>
      <c r="I791" s="32">
        <f>MAX(0,NORMINV(RAND(),$C$14,0.033))</f>
        <v/>
      </c>
      <c r="J791" s="33">
        <f>($C$7*$C$8/365)*F791</f>
        <v/>
      </c>
      <c r="K791" s="33">
        <f>$C$7*G791*$C$12*H791</f>
        <v/>
      </c>
      <c r="L791" s="33">
        <f>$C$7*I791*$C$15</f>
        <v/>
      </c>
      <c r="M791" s="33">
        <f>J791-K791-L791</f>
        <v/>
      </c>
    </row>
    <row r="792">
      <c r="E792" s="20" t="n">
        <v>784</v>
      </c>
      <c r="F792" s="32">
        <f>MAX(0.03,MIN(0.18,NORMINV(RAND(),$C$9,$C$10)))</f>
        <v/>
      </c>
      <c r="G792" s="32">
        <f>MAX(0.02,MIN(0.9,NORMINV(RAND(),$C$11,0.10)))</f>
        <v/>
      </c>
      <c r="H792" s="32">
        <f>MAX(0.02,MIN(0.98,NORMINV(RAND(),$C$13,0.15)))</f>
        <v/>
      </c>
      <c r="I792" s="32">
        <f>MAX(0,NORMINV(RAND(),$C$14,0.033))</f>
        <v/>
      </c>
      <c r="J792" s="33">
        <f>($C$7*$C$8/365)*F792</f>
        <v/>
      </c>
      <c r="K792" s="33">
        <f>$C$7*G792*$C$12*H792</f>
        <v/>
      </c>
      <c r="L792" s="33">
        <f>$C$7*I792*$C$15</f>
        <v/>
      </c>
      <c r="M792" s="33">
        <f>J792-K792-L792</f>
        <v/>
      </c>
    </row>
    <row r="793">
      <c r="E793" s="20" t="n">
        <v>785</v>
      </c>
      <c r="F793" s="32">
        <f>MAX(0.03,MIN(0.18,NORMINV(RAND(),$C$9,$C$10)))</f>
        <v/>
      </c>
      <c r="G793" s="32">
        <f>MAX(0.02,MIN(0.9,NORMINV(RAND(),$C$11,0.10)))</f>
        <v/>
      </c>
      <c r="H793" s="32">
        <f>MAX(0.02,MIN(0.98,NORMINV(RAND(),$C$13,0.15)))</f>
        <v/>
      </c>
      <c r="I793" s="32">
        <f>MAX(0,NORMINV(RAND(),$C$14,0.033))</f>
        <v/>
      </c>
      <c r="J793" s="33">
        <f>($C$7*$C$8/365)*F793</f>
        <v/>
      </c>
      <c r="K793" s="33">
        <f>$C$7*G793*$C$12*H793</f>
        <v/>
      </c>
      <c r="L793" s="33">
        <f>$C$7*I793*$C$15</f>
        <v/>
      </c>
      <c r="M793" s="33">
        <f>J793-K793-L793</f>
        <v/>
      </c>
    </row>
    <row r="794">
      <c r="E794" s="20" t="n">
        <v>786</v>
      </c>
      <c r="F794" s="32">
        <f>MAX(0.03,MIN(0.18,NORMINV(RAND(),$C$9,$C$10)))</f>
        <v/>
      </c>
      <c r="G794" s="32">
        <f>MAX(0.02,MIN(0.9,NORMINV(RAND(),$C$11,0.10)))</f>
        <v/>
      </c>
      <c r="H794" s="32">
        <f>MAX(0.02,MIN(0.98,NORMINV(RAND(),$C$13,0.15)))</f>
        <v/>
      </c>
      <c r="I794" s="32">
        <f>MAX(0,NORMINV(RAND(),$C$14,0.033))</f>
        <v/>
      </c>
      <c r="J794" s="33">
        <f>($C$7*$C$8/365)*F794</f>
        <v/>
      </c>
      <c r="K794" s="33">
        <f>$C$7*G794*$C$12*H794</f>
        <v/>
      </c>
      <c r="L794" s="33">
        <f>$C$7*I794*$C$15</f>
        <v/>
      </c>
      <c r="M794" s="33">
        <f>J794-K794-L794</f>
        <v/>
      </c>
    </row>
    <row r="795">
      <c r="E795" s="20" t="n">
        <v>787</v>
      </c>
      <c r="F795" s="32">
        <f>MAX(0.03,MIN(0.18,NORMINV(RAND(),$C$9,$C$10)))</f>
        <v/>
      </c>
      <c r="G795" s="32">
        <f>MAX(0.02,MIN(0.9,NORMINV(RAND(),$C$11,0.10)))</f>
        <v/>
      </c>
      <c r="H795" s="32">
        <f>MAX(0.02,MIN(0.98,NORMINV(RAND(),$C$13,0.15)))</f>
        <v/>
      </c>
      <c r="I795" s="32">
        <f>MAX(0,NORMINV(RAND(),$C$14,0.033))</f>
        <v/>
      </c>
      <c r="J795" s="33">
        <f>($C$7*$C$8/365)*F795</f>
        <v/>
      </c>
      <c r="K795" s="33">
        <f>$C$7*G795*$C$12*H795</f>
        <v/>
      </c>
      <c r="L795" s="33">
        <f>$C$7*I795*$C$15</f>
        <v/>
      </c>
      <c r="M795" s="33">
        <f>J795-K795-L795</f>
        <v/>
      </c>
    </row>
    <row r="796">
      <c r="E796" s="20" t="n">
        <v>788</v>
      </c>
      <c r="F796" s="32">
        <f>MAX(0.03,MIN(0.18,NORMINV(RAND(),$C$9,$C$10)))</f>
        <v/>
      </c>
      <c r="G796" s="32">
        <f>MAX(0.02,MIN(0.9,NORMINV(RAND(),$C$11,0.10)))</f>
        <v/>
      </c>
      <c r="H796" s="32">
        <f>MAX(0.02,MIN(0.98,NORMINV(RAND(),$C$13,0.15)))</f>
        <v/>
      </c>
      <c r="I796" s="32">
        <f>MAX(0,NORMINV(RAND(),$C$14,0.033))</f>
        <v/>
      </c>
      <c r="J796" s="33">
        <f>($C$7*$C$8/365)*F796</f>
        <v/>
      </c>
      <c r="K796" s="33">
        <f>$C$7*G796*$C$12*H796</f>
        <v/>
      </c>
      <c r="L796" s="33">
        <f>$C$7*I796*$C$15</f>
        <v/>
      </c>
      <c r="M796" s="33">
        <f>J796-K796-L796</f>
        <v/>
      </c>
    </row>
    <row r="797">
      <c r="E797" s="20" t="n">
        <v>789</v>
      </c>
      <c r="F797" s="32">
        <f>MAX(0.03,MIN(0.18,NORMINV(RAND(),$C$9,$C$10)))</f>
        <v/>
      </c>
      <c r="G797" s="32">
        <f>MAX(0.02,MIN(0.9,NORMINV(RAND(),$C$11,0.10)))</f>
        <v/>
      </c>
      <c r="H797" s="32">
        <f>MAX(0.02,MIN(0.98,NORMINV(RAND(),$C$13,0.15)))</f>
        <v/>
      </c>
      <c r="I797" s="32">
        <f>MAX(0,NORMINV(RAND(),$C$14,0.033))</f>
        <v/>
      </c>
      <c r="J797" s="33">
        <f>($C$7*$C$8/365)*F797</f>
        <v/>
      </c>
      <c r="K797" s="33">
        <f>$C$7*G797*$C$12*H797</f>
        <v/>
      </c>
      <c r="L797" s="33">
        <f>$C$7*I797*$C$15</f>
        <v/>
      </c>
      <c r="M797" s="33">
        <f>J797-K797-L797</f>
        <v/>
      </c>
    </row>
    <row r="798">
      <c r="E798" s="20" t="n">
        <v>790</v>
      </c>
      <c r="F798" s="32">
        <f>MAX(0.03,MIN(0.18,NORMINV(RAND(),$C$9,$C$10)))</f>
        <v/>
      </c>
      <c r="G798" s="32">
        <f>MAX(0.02,MIN(0.9,NORMINV(RAND(),$C$11,0.10)))</f>
        <v/>
      </c>
      <c r="H798" s="32">
        <f>MAX(0.02,MIN(0.98,NORMINV(RAND(),$C$13,0.15)))</f>
        <v/>
      </c>
      <c r="I798" s="32">
        <f>MAX(0,NORMINV(RAND(),$C$14,0.033))</f>
        <v/>
      </c>
      <c r="J798" s="33">
        <f>($C$7*$C$8/365)*F798</f>
        <v/>
      </c>
      <c r="K798" s="33">
        <f>$C$7*G798*$C$12*H798</f>
        <v/>
      </c>
      <c r="L798" s="33">
        <f>$C$7*I798*$C$15</f>
        <v/>
      </c>
      <c r="M798" s="33">
        <f>J798-K798-L798</f>
        <v/>
      </c>
    </row>
    <row r="799">
      <c r="E799" s="20" t="n">
        <v>791</v>
      </c>
      <c r="F799" s="32">
        <f>MAX(0.03,MIN(0.18,NORMINV(RAND(),$C$9,$C$10)))</f>
        <v/>
      </c>
      <c r="G799" s="32">
        <f>MAX(0.02,MIN(0.9,NORMINV(RAND(),$C$11,0.10)))</f>
        <v/>
      </c>
      <c r="H799" s="32">
        <f>MAX(0.02,MIN(0.98,NORMINV(RAND(),$C$13,0.15)))</f>
        <v/>
      </c>
      <c r="I799" s="32">
        <f>MAX(0,NORMINV(RAND(),$C$14,0.033))</f>
        <v/>
      </c>
      <c r="J799" s="33">
        <f>($C$7*$C$8/365)*F799</f>
        <v/>
      </c>
      <c r="K799" s="33">
        <f>$C$7*G799*$C$12*H799</f>
        <v/>
      </c>
      <c r="L799" s="33">
        <f>$C$7*I799*$C$15</f>
        <v/>
      </c>
      <c r="M799" s="33">
        <f>J799-K799-L799</f>
        <v/>
      </c>
    </row>
    <row r="800">
      <c r="E800" s="20" t="n">
        <v>792</v>
      </c>
      <c r="F800" s="32">
        <f>MAX(0.03,MIN(0.18,NORMINV(RAND(),$C$9,$C$10)))</f>
        <v/>
      </c>
      <c r="G800" s="32">
        <f>MAX(0.02,MIN(0.9,NORMINV(RAND(),$C$11,0.10)))</f>
        <v/>
      </c>
      <c r="H800" s="32">
        <f>MAX(0.02,MIN(0.98,NORMINV(RAND(),$C$13,0.15)))</f>
        <v/>
      </c>
      <c r="I800" s="32">
        <f>MAX(0,NORMINV(RAND(),$C$14,0.033))</f>
        <v/>
      </c>
      <c r="J800" s="33">
        <f>($C$7*$C$8/365)*F800</f>
        <v/>
      </c>
      <c r="K800" s="33">
        <f>$C$7*G800*$C$12*H800</f>
        <v/>
      </c>
      <c r="L800" s="33">
        <f>$C$7*I800*$C$15</f>
        <v/>
      </c>
      <c r="M800" s="33">
        <f>J800-K800-L800</f>
        <v/>
      </c>
    </row>
    <row r="801">
      <c r="E801" s="20" t="n">
        <v>793</v>
      </c>
      <c r="F801" s="32">
        <f>MAX(0.03,MIN(0.18,NORMINV(RAND(),$C$9,$C$10)))</f>
        <v/>
      </c>
      <c r="G801" s="32">
        <f>MAX(0.02,MIN(0.9,NORMINV(RAND(),$C$11,0.10)))</f>
        <v/>
      </c>
      <c r="H801" s="32">
        <f>MAX(0.02,MIN(0.98,NORMINV(RAND(),$C$13,0.15)))</f>
        <v/>
      </c>
      <c r="I801" s="32">
        <f>MAX(0,NORMINV(RAND(),$C$14,0.033))</f>
        <v/>
      </c>
      <c r="J801" s="33">
        <f>($C$7*$C$8/365)*F801</f>
        <v/>
      </c>
      <c r="K801" s="33">
        <f>$C$7*G801*$C$12*H801</f>
        <v/>
      </c>
      <c r="L801" s="33">
        <f>$C$7*I801*$C$15</f>
        <v/>
      </c>
      <c r="M801" s="33">
        <f>J801-K801-L801</f>
        <v/>
      </c>
    </row>
    <row r="802">
      <c r="E802" s="20" t="n">
        <v>794</v>
      </c>
      <c r="F802" s="32">
        <f>MAX(0.03,MIN(0.18,NORMINV(RAND(),$C$9,$C$10)))</f>
        <v/>
      </c>
      <c r="G802" s="32">
        <f>MAX(0.02,MIN(0.9,NORMINV(RAND(),$C$11,0.10)))</f>
        <v/>
      </c>
      <c r="H802" s="32">
        <f>MAX(0.02,MIN(0.98,NORMINV(RAND(),$C$13,0.15)))</f>
        <v/>
      </c>
      <c r="I802" s="32">
        <f>MAX(0,NORMINV(RAND(),$C$14,0.033))</f>
        <v/>
      </c>
      <c r="J802" s="33">
        <f>($C$7*$C$8/365)*F802</f>
        <v/>
      </c>
      <c r="K802" s="33">
        <f>$C$7*G802*$C$12*H802</f>
        <v/>
      </c>
      <c r="L802" s="33">
        <f>$C$7*I802*$C$15</f>
        <v/>
      </c>
      <c r="M802" s="33">
        <f>J802-K802-L802</f>
        <v/>
      </c>
    </row>
    <row r="803">
      <c r="E803" s="20" t="n">
        <v>795</v>
      </c>
      <c r="F803" s="32">
        <f>MAX(0.03,MIN(0.18,NORMINV(RAND(),$C$9,$C$10)))</f>
        <v/>
      </c>
      <c r="G803" s="32">
        <f>MAX(0.02,MIN(0.9,NORMINV(RAND(),$C$11,0.10)))</f>
        <v/>
      </c>
      <c r="H803" s="32">
        <f>MAX(0.02,MIN(0.98,NORMINV(RAND(),$C$13,0.15)))</f>
        <v/>
      </c>
      <c r="I803" s="32">
        <f>MAX(0,NORMINV(RAND(),$C$14,0.033))</f>
        <v/>
      </c>
      <c r="J803" s="33">
        <f>($C$7*$C$8/365)*F803</f>
        <v/>
      </c>
      <c r="K803" s="33">
        <f>$C$7*G803*$C$12*H803</f>
        <v/>
      </c>
      <c r="L803" s="33">
        <f>$C$7*I803*$C$15</f>
        <v/>
      </c>
      <c r="M803" s="33">
        <f>J803-K803-L803</f>
        <v/>
      </c>
    </row>
    <row r="804">
      <c r="E804" s="20" t="n">
        <v>796</v>
      </c>
      <c r="F804" s="32">
        <f>MAX(0.03,MIN(0.18,NORMINV(RAND(),$C$9,$C$10)))</f>
        <v/>
      </c>
      <c r="G804" s="32">
        <f>MAX(0.02,MIN(0.9,NORMINV(RAND(),$C$11,0.10)))</f>
        <v/>
      </c>
      <c r="H804" s="32">
        <f>MAX(0.02,MIN(0.98,NORMINV(RAND(),$C$13,0.15)))</f>
        <v/>
      </c>
      <c r="I804" s="32">
        <f>MAX(0,NORMINV(RAND(),$C$14,0.033))</f>
        <v/>
      </c>
      <c r="J804" s="33">
        <f>($C$7*$C$8/365)*F804</f>
        <v/>
      </c>
      <c r="K804" s="33">
        <f>$C$7*G804*$C$12*H804</f>
        <v/>
      </c>
      <c r="L804" s="33">
        <f>$C$7*I804*$C$15</f>
        <v/>
      </c>
      <c r="M804" s="33">
        <f>J804-K804-L804</f>
        <v/>
      </c>
    </row>
    <row r="805">
      <c r="E805" s="20" t="n">
        <v>797</v>
      </c>
      <c r="F805" s="32">
        <f>MAX(0.03,MIN(0.18,NORMINV(RAND(),$C$9,$C$10)))</f>
        <v/>
      </c>
      <c r="G805" s="32">
        <f>MAX(0.02,MIN(0.9,NORMINV(RAND(),$C$11,0.10)))</f>
        <v/>
      </c>
      <c r="H805" s="32">
        <f>MAX(0.02,MIN(0.98,NORMINV(RAND(),$C$13,0.15)))</f>
        <v/>
      </c>
      <c r="I805" s="32">
        <f>MAX(0,NORMINV(RAND(),$C$14,0.033))</f>
        <v/>
      </c>
      <c r="J805" s="33">
        <f>($C$7*$C$8/365)*F805</f>
        <v/>
      </c>
      <c r="K805" s="33">
        <f>$C$7*G805*$C$12*H805</f>
        <v/>
      </c>
      <c r="L805" s="33">
        <f>$C$7*I805*$C$15</f>
        <v/>
      </c>
      <c r="M805" s="33">
        <f>J805-K805-L805</f>
        <v/>
      </c>
    </row>
    <row r="806">
      <c r="E806" s="20" t="n">
        <v>798</v>
      </c>
      <c r="F806" s="32">
        <f>MAX(0.03,MIN(0.18,NORMINV(RAND(),$C$9,$C$10)))</f>
        <v/>
      </c>
      <c r="G806" s="32">
        <f>MAX(0.02,MIN(0.9,NORMINV(RAND(),$C$11,0.10)))</f>
        <v/>
      </c>
      <c r="H806" s="32">
        <f>MAX(0.02,MIN(0.98,NORMINV(RAND(),$C$13,0.15)))</f>
        <v/>
      </c>
      <c r="I806" s="32">
        <f>MAX(0,NORMINV(RAND(),$C$14,0.033))</f>
        <v/>
      </c>
      <c r="J806" s="33">
        <f>($C$7*$C$8/365)*F806</f>
        <v/>
      </c>
      <c r="K806" s="33">
        <f>$C$7*G806*$C$12*H806</f>
        <v/>
      </c>
      <c r="L806" s="33">
        <f>$C$7*I806*$C$15</f>
        <v/>
      </c>
      <c r="M806" s="33">
        <f>J806-K806-L806</f>
        <v/>
      </c>
    </row>
    <row r="807">
      <c r="E807" s="20" t="n">
        <v>799</v>
      </c>
      <c r="F807" s="32">
        <f>MAX(0.03,MIN(0.18,NORMINV(RAND(),$C$9,$C$10)))</f>
        <v/>
      </c>
      <c r="G807" s="32">
        <f>MAX(0.02,MIN(0.9,NORMINV(RAND(),$C$11,0.10)))</f>
        <v/>
      </c>
      <c r="H807" s="32">
        <f>MAX(0.02,MIN(0.98,NORMINV(RAND(),$C$13,0.15)))</f>
        <v/>
      </c>
      <c r="I807" s="32">
        <f>MAX(0,NORMINV(RAND(),$C$14,0.033))</f>
        <v/>
      </c>
      <c r="J807" s="33">
        <f>($C$7*$C$8/365)*F807</f>
        <v/>
      </c>
      <c r="K807" s="33">
        <f>$C$7*G807*$C$12*H807</f>
        <v/>
      </c>
      <c r="L807" s="33">
        <f>$C$7*I807*$C$15</f>
        <v/>
      </c>
      <c r="M807" s="33">
        <f>J807-K807-L807</f>
        <v/>
      </c>
    </row>
    <row r="808">
      <c r="E808" s="20" t="n">
        <v>800</v>
      </c>
      <c r="F808" s="32">
        <f>MAX(0.03,MIN(0.18,NORMINV(RAND(),$C$9,$C$10)))</f>
        <v/>
      </c>
      <c r="G808" s="32">
        <f>MAX(0.02,MIN(0.9,NORMINV(RAND(),$C$11,0.10)))</f>
        <v/>
      </c>
      <c r="H808" s="32">
        <f>MAX(0.02,MIN(0.98,NORMINV(RAND(),$C$13,0.15)))</f>
        <v/>
      </c>
      <c r="I808" s="32">
        <f>MAX(0,NORMINV(RAND(),$C$14,0.033))</f>
        <v/>
      </c>
      <c r="J808" s="33">
        <f>($C$7*$C$8/365)*F808</f>
        <v/>
      </c>
      <c r="K808" s="33">
        <f>$C$7*G808*$C$12*H808</f>
        <v/>
      </c>
      <c r="L808" s="33">
        <f>$C$7*I808*$C$15</f>
        <v/>
      </c>
      <c r="M808" s="33">
        <f>J808-K808-L808</f>
        <v/>
      </c>
    </row>
    <row r="809">
      <c r="E809" s="20" t="n">
        <v>801</v>
      </c>
      <c r="F809" s="32">
        <f>MAX(0.03,MIN(0.18,NORMINV(RAND(),$C$9,$C$10)))</f>
        <v/>
      </c>
      <c r="G809" s="32">
        <f>MAX(0.02,MIN(0.9,NORMINV(RAND(),$C$11,0.10)))</f>
        <v/>
      </c>
      <c r="H809" s="32">
        <f>MAX(0.02,MIN(0.98,NORMINV(RAND(),$C$13,0.15)))</f>
        <v/>
      </c>
      <c r="I809" s="32">
        <f>MAX(0,NORMINV(RAND(),$C$14,0.033))</f>
        <v/>
      </c>
      <c r="J809" s="33">
        <f>($C$7*$C$8/365)*F809</f>
        <v/>
      </c>
      <c r="K809" s="33">
        <f>$C$7*G809*$C$12*H809</f>
        <v/>
      </c>
      <c r="L809" s="33">
        <f>$C$7*I809*$C$15</f>
        <v/>
      </c>
      <c r="M809" s="33">
        <f>J809-K809-L809</f>
        <v/>
      </c>
    </row>
    <row r="810">
      <c r="E810" s="20" t="n">
        <v>802</v>
      </c>
      <c r="F810" s="32">
        <f>MAX(0.03,MIN(0.18,NORMINV(RAND(),$C$9,$C$10)))</f>
        <v/>
      </c>
      <c r="G810" s="32">
        <f>MAX(0.02,MIN(0.9,NORMINV(RAND(),$C$11,0.10)))</f>
        <v/>
      </c>
      <c r="H810" s="32">
        <f>MAX(0.02,MIN(0.98,NORMINV(RAND(),$C$13,0.15)))</f>
        <v/>
      </c>
      <c r="I810" s="32">
        <f>MAX(0,NORMINV(RAND(),$C$14,0.033))</f>
        <v/>
      </c>
      <c r="J810" s="33">
        <f>($C$7*$C$8/365)*F810</f>
        <v/>
      </c>
      <c r="K810" s="33">
        <f>$C$7*G810*$C$12*H810</f>
        <v/>
      </c>
      <c r="L810" s="33">
        <f>$C$7*I810*$C$15</f>
        <v/>
      </c>
      <c r="M810" s="33">
        <f>J810-K810-L810</f>
        <v/>
      </c>
    </row>
    <row r="811">
      <c r="E811" s="20" t="n">
        <v>803</v>
      </c>
      <c r="F811" s="32">
        <f>MAX(0.03,MIN(0.18,NORMINV(RAND(),$C$9,$C$10)))</f>
        <v/>
      </c>
      <c r="G811" s="32">
        <f>MAX(0.02,MIN(0.9,NORMINV(RAND(),$C$11,0.10)))</f>
        <v/>
      </c>
      <c r="H811" s="32">
        <f>MAX(0.02,MIN(0.98,NORMINV(RAND(),$C$13,0.15)))</f>
        <v/>
      </c>
      <c r="I811" s="32">
        <f>MAX(0,NORMINV(RAND(),$C$14,0.033))</f>
        <v/>
      </c>
      <c r="J811" s="33">
        <f>($C$7*$C$8/365)*F811</f>
        <v/>
      </c>
      <c r="K811" s="33">
        <f>$C$7*G811*$C$12*H811</f>
        <v/>
      </c>
      <c r="L811" s="33">
        <f>$C$7*I811*$C$15</f>
        <v/>
      </c>
      <c r="M811" s="33">
        <f>J811-K811-L811</f>
        <v/>
      </c>
    </row>
    <row r="812">
      <c r="E812" s="20" t="n">
        <v>804</v>
      </c>
      <c r="F812" s="32">
        <f>MAX(0.03,MIN(0.18,NORMINV(RAND(),$C$9,$C$10)))</f>
        <v/>
      </c>
      <c r="G812" s="32">
        <f>MAX(0.02,MIN(0.9,NORMINV(RAND(),$C$11,0.10)))</f>
        <v/>
      </c>
      <c r="H812" s="32">
        <f>MAX(0.02,MIN(0.98,NORMINV(RAND(),$C$13,0.15)))</f>
        <v/>
      </c>
      <c r="I812" s="32">
        <f>MAX(0,NORMINV(RAND(),$C$14,0.033))</f>
        <v/>
      </c>
      <c r="J812" s="33">
        <f>($C$7*$C$8/365)*F812</f>
        <v/>
      </c>
      <c r="K812" s="33">
        <f>$C$7*G812*$C$12*H812</f>
        <v/>
      </c>
      <c r="L812" s="33">
        <f>$C$7*I812*$C$15</f>
        <v/>
      </c>
      <c r="M812" s="33">
        <f>J812-K812-L812</f>
        <v/>
      </c>
    </row>
    <row r="813">
      <c r="E813" s="20" t="n">
        <v>805</v>
      </c>
      <c r="F813" s="32">
        <f>MAX(0.03,MIN(0.18,NORMINV(RAND(),$C$9,$C$10)))</f>
        <v/>
      </c>
      <c r="G813" s="32">
        <f>MAX(0.02,MIN(0.9,NORMINV(RAND(),$C$11,0.10)))</f>
        <v/>
      </c>
      <c r="H813" s="32">
        <f>MAX(0.02,MIN(0.98,NORMINV(RAND(),$C$13,0.15)))</f>
        <v/>
      </c>
      <c r="I813" s="32">
        <f>MAX(0,NORMINV(RAND(),$C$14,0.033))</f>
        <v/>
      </c>
      <c r="J813" s="33">
        <f>($C$7*$C$8/365)*F813</f>
        <v/>
      </c>
      <c r="K813" s="33">
        <f>$C$7*G813*$C$12*H813</f>
        <v/>
      </c>
      <c r="L813" s="33">
        <f>$C$7*I813*$C$15</f>
        <v/>
      </c>
      <c r="M813" s="33">
        <f>J813-K813-L813</f>
        <v/>
      </c>
    </row>
    <row r="814">
      <c r="E814" s="20" t="n">
        <v>806</v>
      </c>
      <c r="F814" s="32">
        <f>MAX(0.03,MIN(0.18,NORMINV(RAND(),$C$9,$C$10)))</f>
        <v/>
      </c>
      <c r="G814" s="32">
        <f>MAX(0.02,MIN(0.9,NORMINV(RAND(),$C$11,0.10)))</f>
        <v/>
      </c>
      <c r="H814" s="32">
        <f>MAX(0.02,MIN(0.98,NORMINV(RAND(),$C$13,0.15)))</f>
        <v/>
      </c>
      <c r="I814" s="32">
        <f>MAX(0,NORMINV(RAND(),$C$14,0.033))</f>
        <v/>
      </c>
      <c r="J814" s="33">
        <f>($C$7*$C$8/365)*F814</f>
        <v/>
      </c>
      <c r="K814" s="33">
        <f>$C$7*G814*$C$12*H814</f>
        <v/>
      </c>
      <c r="L814" s="33">
        <f>$C$7*I814*$C$15</f>
        <v/>
      </c>
      <c r="M814" s="33">
        <f>J814-K814-L814</f>
        <v/>
      </c>
    </row>
    <row r="815">
      <c r="E815" s="20" t="n">
        <v>807</v>
      </c>
      <c r="F815" s="32">
        <f>MAX(0.03,MIN(0.18,NORMINV(RAND(),$C$9,$C$10)))</f>
        <v/>
      </c>
      <c r="G815" s="32">
        <f>MAX(0.02,MIN(0.9,NORMINV(RAND(),$C$11,0.10)))</f>
        <v/>
      </c>
      <c r="H815" s="32">
        <f>MAX(0.02,MIN(0.98,NORMINV(RAND(),$C$13,0.15)))</f>
        <v/>
      </c>
      <c r="I815" s="32">
        <f>MAX(0,NORMINV(RAND(),$C$14,0.033))</f>
        <v/>
      </c>
      <c r="J815" s="33">
        <f>($C$7*$C$8/365)*F815</f>
        <v/>
      </c>
      <c r="K815" s="33">
        <f>$C$7*G815*$C$12*H815</f>
        <v/>
      </c>
      <c r="L815" s="33">
        <f>$C$7*I815*$C$15</f>
        <v/>
      </c>
      <c r="M815" s="33">
        <f>J815-K815-L815</f>
        <v/>
      </c>
    </row>
    <row r="816">
      <c r="E816" s="20" t="n">
        <v>808</v>
      </c>
      <c r="F816" s="32">
        <f>MAX(0.03,MIN(0.18,NORMINV(RAND(),$C$9,$C$10)))</f>
        <v/>
      </c>
      <c r="G816" s="32">
        <f>MAX(0.02,MIN(0.9,NORMINV(RAND(),$C$11,0.10)))</f>
        <v/>
      </c>
      <c r="H816" s="32">
        <f>MAX(0.02,MIN(0.98,NORMINV(RAND(),$C$13,0.15)))</f>
        <v/>
      </c>
      <c r="I816" s="32">
        <f>MAX(0,NORMINV(RAND(),$C$14,0.033))</f>
        <v/>
      </c>
      <c r="J816" s="33">
        <f>($C$7*$C$8/365)*F816</f>
        <v/>
      </c>
      <c r="K816" s="33">
        <f>$C$7*G816*$C$12*H816</f>
        <v/>
      </c>
      <c r="L816" s="33">
        <f>$C$7*I816*$C$15</f>
        <v/>
      </c>
      <c r="M816" s="33">
        <f>J816-K816-L816</f>
        <v/>
      </c>
    </row>
    <row r="817">
      <c r="E817" s="20" t="n">
        <v>809</v>
      </c>
      <c r="F817" s="32">
        <f>MAX(0.03,MIN(0.18,NORMINV(RAND(),$C$9,$C$10)))</f>
        <v/>
      </c>
      <c r="G817" s="32">
        <f>MAX(0.02,MIN(0.9,NORMINV(RAND(),$C$11,0.10)))</f>
        <v/>
      </c>
      <c r="H817" s="32">
        <f>MAX(0.02,MIN(0.98,NORMINV(RAND(),$C$13,0.15)))</f>
        <v/>
      </c>
      <c r="I817" s="32">
        <f>MAX(0,NORMINV(RAND(),$C$14,0.033))</f>
        <v/>
      </c>
      <c r="J817" s="33">
        <f>($C$7*$C$8/365)*F817</f>
        <v/>
      </c>
      <c r="K817" s="33">
        <f>$C$7*G817*$C$12*H817</f>
        <v/>
      </c>
      <c r="L817" s="33">
        <f>$C$7*I817*$C$15</f>
        <v/>
      </c>
      <c r="M817" s="33">
        <f>J817-K817-L817</f>
        <v/>
      </c>
    </row>
    <row r="818">
      <c r="E818" s="20" t="n">
        <v>810</v>
      </c>
      <c r="F818" s="32">
        <f>MAX(0.03,MIN(0.18,NORMINV(RAND(),$C$9,$C$10)))</f>
        <v/>
      </c>
      <c r="G818" s="32">
        <f>MAX(0.02,MIN(0.9,NORMINV(RAND(),$C$11,0.10)))</f>
        <v/>
      </c>
      <c r="H818" s="32">
        <f>MAX(0.02,MIN(0.98,NORMINV(RAND(),$C$13,0.15)))</f>
        <v/>
      </c>
      <c r="I818" s="32">
        <f>MAX(0,NORMINV(RAND(),$C$14,0.033))</f>
        <v/>
      </c>
      <c r="J818" s="33">
        <f>($C$7*$C$8/365)*F818</f>
        <v/>
      </c>
      <c r="K818" s="33">
        <f>$C$7*G818*$C$12*H818</f>
        <v/>
      </c>
      <c r="L818" s="33">
        <f>$C$7*I818*$C$15</f>
        <v/>
      </c>
      <c r="M818" s="33">
        <f>J818-K818-L818</f>
        <v/>
      </c>
    </row>
    <row r="819">
      <c r="E819" s="20" t="n">
        <v>811</v>
      </c>
      <c r="F819" s="32">
        <f>MAX(0.03,MIN(0.18,NORMINV(RAND(),$C$9,$C$10)))</f>
        <v/>
      </c>
      <c r="G819" s="32">
        <f>MAX(0.02,MIN(0.9,NORMINV(RAND(),$C$11,0.10)))</f>
        <v/>
      </c>
      <c r="H819" s="32">
        <f>MAX(0.02,MIN(0.98,NORMINV(RAND(),$C$13,0.15)))</f>
        <v/>
      </c>
      <c r="I819" s="32">
        <f>MAX(0,NORMINV(RAND(),$C$14,0.033))</f>
        <v/>
      </c>
      <c r="J819" s="33">
        <f>($C$7*$C$8/365)*F819</f>
        <v/>
      </c>
      <c r="K819" s="33">
        <f>$C$7*G819*$C$12*H819</f>
        <v/>
      </c>
      <c r="L819" s="33">
        <f>$C$7*I819*$C$15</f>
        <v/>
      </c>
      <c r="M819" s="33">
        <f>J819-K819-L819</f>
        <v/>
      </c>
    </row>
    <row r="820">
      <c r="E820" s="20" t="n">
        <v>812</v>
      </c>
      <c r="F820" s="32">
        <f>MAX(0.03,MIN(0.18,NORMINV(RAND(),$C$9,$C$10)))</f>
        <v/>
      </c>
      <c r="G820" s="32">
        <f>MAX(0.02,MIN(0.9,NORMINV(RAND(),$C$11,0.10)))</f>
        <v/>
      </c>
      <c r="H820" s="32">
        <f>MAX(0.02,MIN(0.98,NORMINV(RAND(),$C$13,0.15)))</f>
        <v/>
      </c>
      <c r="I820" s="32">
        <f>MAX(0,NORMINV(RAND(),$C$14,0.033))</f>
        <v/>
      </c>
      <c r="J820" s="33">
        <f>($C$7*$C$8/365)*F820</f>
        <v/>
      </c>
      <c r="K820" s="33">
        <f>$C$7*G820*$C$12*H820</f>
        <v/>
      </c>
      <c r="L820" s="33">
        <f>$C$7*I820*$C$15</f>
        <v/>
      </c>
      <c r="M820" s="33">
        <f>J820-K820-L820</f>
        <v/>
      </c>
    </row>
    <row r="821">
      <c r="E821" s="20" t="n">
        <v>813</v>
      </c>
      <c r="F821" s="32">
        <f>MAX(0.03,MIN(0.18,NORMINV(RAND(),$C$9,$C$10)))</f>
        <v/>
      </c>
      <c r="G821" s="32">
        <f>MAX(0.02,MIN(0.9,NORMINV(RAND(),$C$11,0.10)))</f>
        <v/>
      </c>
      <c r="H821" s="32">
        <f>MAX(0.02,MIN(0.98,NORMINV(RAND(),$C$13,0.15)))</f>
        <v/>
      </c>
      <c r="I821" s="32">
        <f>MAX(0,NORMINV(RAND(),$C$14,0.033))</f>
        <v/>
      </c>
      <c r="J821" s="33">
        <f>($C$7*$C$8/365)*F821</f>
        <v/>
      </c>
      <c r="K821" s="33">
        <f>$C$7*G821*$C$12*H821</f>
        <v/>
      </c>
      <c r="L821" s="33">
        <f>$C$7*I821*$C$15</f>
        <v/>
      </c>
      <c r="M821" s="33">
        <f>J821-K821-L821</f>
        <v/>
      </c>
    </row>
    <row r="822">
      <c r="E822" s="20" t="n">
        <v>814</v>
      </c>
      <c r="F822" s="32">
        <f>MAX(0.03,MIN(0.18,NORMINV(RAND(),$C$9,$C$10)))</f>
        <v/>
      </c>
      <c r="G822" s="32">
        <f>MAX(0.02,MIN(0.9,NORMINV(RAND(),$C$11,0.10)))</f>
        <v/>
      </c>
      <c r="H822" s="32">
        <f>MAX(0.02,MIN(0.98,NORMINV(RAND(),$C$13,0.15)))</f>
        <v/>
      </c>
      <c r="I822" s="32">
        <f>MAX(0,NORMINV(RAND(),$C$14,0.033))</f>
        <v/>
      </c>
      <c r="J822" s="33">
        <f>($C$7*$C$8/365)*F822</f>
        <v/>
      </c>
      <c r="K822" s="33">
        <f>$C$7*G822*$C$12*H822</f>
        <v/>
      </c>
      <c r="L822" s="33">
        <f>$C$7*I822*$C$15</f>
        <v/>
      </c>
      <c r="M822" s="33">
        <f>J822-K822-L822</f>
        <v/>
      </c>
    </row>
    <row r="823">
      <c r="E823" s="20" t="n">
        <v>815</v>
      </c>
      <c r="F823" s="32">
        <f>MAX(0.03,MIN(0.18,NORMINV(RAND(),$C$9,$C$10)))</f>
        <v/>
      </c>
      <c r="G823" s="32">
        <f>MAX(0.02,MIN(0.9,NORMINV(RAND(),$C$11,0.10)))</f>
        <v/>
      </c>
      <c r="H823" s="32">
        <f>MAX(0.02,MIN(0.98,NORMINV(RAND(),$C$13,0.15)))</f>
        <v/>
      </c>
      <c r="I823" s="32">
        <f>MAX(0,NORMINV(RAND(),$C$14,0.033))</f>
        <v/>
      </c>
      <c r="J823" s="33">
        <f>($C$7*$C$8/365)*F823</f>
        <v/>
      </c>
      <c r="K823" s="33">
        <f>$C$7*G823*$C$12*H823</f>
        <v/>
      </c>
      <c r="L823" s="33">
        <f>$C$7*I823*$C$15</f>
        <v/>
      </c>
      <c r="M823" s="33">
        <f>J823-K823-L823</f>
        <v/>
      </c>
    </row>
    <row r="824">
      <c r="E824" s="20" t="n">
        <v>816</v>
      </c>
      <c r="F824" s="32">
        <f>MAX(0.03,MIN(0.18,NORMINV(RAND(),$C$9,$C$10)))</f>
        <v/>
      </c>
      <c r="G824" s="32">
        <f>MAX(0.02,MIN(0.9,NORMINV(RAND(),$C$11,0.10)))</f>
        <v/>
      </c>
      <c r="H824" s="32">
        <f>MAX(0.02,MIN(0.98,NORMINV(RAND(),$C$13,0.15)))</f>
        <v/>
      </c>
      <c r="I824" s="32">
        <f>MAX(0,NORMINV(RAND(),$C$14,0.033))</f>
        <v/>
      </c>
      <c r="J824" s="33">
        <f>($C$7*$C$8/365)*F824</f>
        <v/>
      </c>
      <c r="K824" s="33">
        <f>$C$7*G824*$C$12*H824</f>
        <v/>
      </c>
      <c r="L824" s="33">
        <f>$C$7*I824*$C$15</f>
        <v/>
      </c>
      <c r="M824" s="33">
        <f>J824-K824-L824</f>
        <v/>
      </c>
    </row>
    <row r="825">
      <c r="E825" s="20" t="n">
        <v>817</v>
      </c>
      <c r="F825" s="32">
        <f>MAX(0.03,MIN(0.18,NORMINV(RAND(),$C$9,$C$10)))</f>
        <v/>
      </c>
      <c r="G825" s="32">
        <f>MAX(0.02,MIN(0.9,NORMINV(RAND(),$C$11,0.10)))</f>
        <v/>
      </c>
      <c r="H825" s="32">
        <f>MAX(0.02,MIN(0.98,NORMINV(RAND(),$C$13,0.15)))</f>
        <v/>
      </c>
      <c r="I825" s="32">
        <f>MAX(0,NORMINV(RAND(),$C$14,0.033))</f>
        <v/>
      </c>
      <c r="J825" s="33">
        <f>($C$7*$C$8/365)*F825</f>
        <v/>
      </c>
      <c r="K825" s="33">
        <f>$C$7*G825*$C$12*H825</f>
        <v/>
      </c>
      <c r="L825" s="33">
        <f>$C$7*I825*$C$15</f>
        <v/>
      </c>
      <c r="M825" s="33">
        <f>J825-K825-L825</f>
        <v/>
      </c>
    </row>
    <row r="826">
      <c r="E826" s="20" t="n">
        <v>818</v>
      </c>
      <c r="F826" s="32">
        <f>MAX(0.03,MIN(0.18,NORMINV(RAND(),$C$9,$C$10)))</f>
        <v/>
      </c>
      <c r="G826" s="32">
        <f>MAX(0.02,MIN(0.9,NORMINV(RAND(),$C$11,0.10)))</f>
        <v/>
      </c>
      <c r="H826" s="32">
        <f>MAX(0.02,MIN(0.98,NORMINV(RAND(),$C$13,0.15)))</f>
        <v/>
      </c>
      <c r="I826" s="32">
        <f>MAX(0,NORMINV(RAND(),$C$14,0.033))</f>
        <v/>
      </c>
      <c r="J826" s="33">
        <f>($C$7*$C$8/365)*F826</f>
        <v/>
      </c>
      <c r="K826" s="33">
        <f>$C$7*G826*$C$12*H826</f>
        <v/>
      </c>
      <c r="L826" s="33">
        <f>$C$7*I826*$C$15</f>
        <v/>
      </c>
      <c r="M826" s="33">
        <f>J826-K826-L826</f>
        <v/>
      </c>
    </row>
    <row r="827">
      <c r="E827" s="20" t="n">
        <v>819</v>
      </c>
      <c r="F827" s="32">
        <f>MAX(0.03,MIN(0.18,NORMINV(RAND(),$C$9,$C$10)))</f>
        <v/>
      </c>
      <c r="G827" s="32">
        <f>MAX(0.02,MIN(0.9,NORMINV(RAND(),$C$11,0.10)))</f>
        <v/>
      </c>
      <c r="H827" s="32">
        <f>MAX(0.02,MIN(0.98,NORMINV(RAND(),$C$13,0.15)))</f>
        <v/>
      </c>
      <c r="I827" s="32">
        <f>MAX(0,NORMINV(RAND(),$C$14,0.033))</f>
        <v/>
      </c>
      <c r="J827" s="33">
        <f>($C$7*$C$8/365)*F827</f>
        <v/>
      </c>
      <c r="K827" s="33">
        <f>$C$7*G827*$C$12*H827</f>
        <v/>
      </c>
      <c r="L827" s="33">
        <f>$C$7*I827*$C$15</f>
        <v/>
      </c>
      <c r="M827" s="33">
        <f>J827-K827-L827</f>
        <v/>
      </c>
    </row>
    <row r="828">
      <c r="E828" s="20" t="n">
        <v>820</v>
      </c>
      <c r="F828" s="32">
        <f>MAX(0.03,MIN(0.18,NORMINV(RAND(),$C$9,$C$10)))</f>
        <v/>
      </c>
      <c r="G828" s="32">
        <f>MAX(0.02,MIN(0.9,NORMINV(RAND(),$C$11,0.10)))</f>
        <v/>
      </c>
      <c r="H828" s="32">
        <f>MAX(0.02,MIN(0.98,NORMINV(RAND(),$C$13,0.15)))</f>
        <v/>
      </c>
      <c r="I828" s="32">
        <f>MAX(0,NORMINV(RAND(),$C$14,0.033))</f>
        <v/>
      </c>
      <c r="J828" s="33">
        <f>($C$7*$C$8/365)*F828</f>
        <v/>
      </c>
      <c r="K828" s="33">
        <f>$C$7*G828*$C$12*H828</f>
        <v/>
      </c>
      <c r="L828" s="33">
        <f>$C$7*I828*$C$15</f>
        <v/>
      </c>
      <c r="M828" s="33">
        <f>J828-K828-L828</f>
        <v/>
      </c>
    </row>
    <row r="829">
      <c r="E829" s="20" t="n">
        <v>821</v>
      </c>
      <c r="F829" s="32">
        <f>MAX(0.03,MIN(0.18,NORMINV(RAND(),$C$9,$C$10)))</f>
        <v/>
      </c>
      <c r="G829" s="32">
        <f>MAX(0.02,MIN(0.9,NORMINV(RAND(),$C$11,0.10)))</f>
        <v/>
      </c>
      <c r="H829" s="32">
        <f>MAX(0.02,MIN(0.98,NORMINV(RAND(),$C$13,0.15)))</f>
        <v/>
      </c>
      <c r="I829" s="32">
        <f>MAX(0,NORMINV(RAND(),$C$14,0.033))</f>
        <v/>
      </c>
      <c r="J829" s="33">
        <f>($C$7*$C$8/365)*F829</f>
        <v/>
      </c>
      <c r="K829" s="33">
        <f>$C$7*G829*$C$12*H829</f>
        <v/>
      </c>
      <c r="L829" s="33">
        <f>$C$7*I829*$C$15</f>
        <v/>
      </c>
      <c r="M829" s="33">
        <f>J829-K829-L829</f>
        <v/>
      </c>
    </row>
    <row r="830">
      <c r="E830" s="20" t="n">
        <v>822</v>
      </c>
      <c r="F830" s="32">
        <f>MAX(0.03,MIN(0.18,NORMINV(RAND(),$C$9,$C$10)))</f>
        <v/>
      </c>
      <c r="G830" s="32">
        <f>MAX(0.02,MIN(0.9,NORMINV(RAND(),$C$11,0.10)))</f>
        <v/>
      </c>
      <c r="H830" s="32">
        <f>MAX(0.02,MIN(0.98,NORMINV(RAND(),$C$13,0.15)))</f>
        <v/>
      </c>
      <c r="I830" s="32">
        <f>MAX(0,NORMINV(RAND(),$C$14,0.033))</f>
        <v/>
      </c>
      <c r="J830" s="33">
        <f>($C$7*$C$8/365)*F830</f>
        <v/>
      </c>
      <c r="K830" s="33">
        <f>$C$7*G830*$C$12*H830</f>
        <v/>
      </c>
      <c r="L830" s="33">
        <f>$C$7*I830*$C$15</f>
        <v/>
      </c>
      <c r="M830" s="33">
        <f>J830-K830-L830</f>
        <v/>
      </c>
    </row>
    <row r="831">
      <c r="E831" s="20" t="n">
        <v>823</v>
      </c>
      <c r="F831" s="32">
        <f>MAX(0.03,MIN(0.18,NORMINV(RAND(),$C$9,$C$10)))</f>
        <v/>
      </c>
      <c r="G831" s="32">
        <f>MAX(0.02,MIN(0.9,NORMINV(RAND(),$C$11,0.10)))</f>
        <v/>
      </c>
      <c r="H831" s="32">
        <f>MAX(0.02,MIN(0.98,NORMINV(RAND(),$C$13,0.15)))</f>
        <v/>
      </c>
      <c r="I831" s="32">
        <f>MAX(0,NORMINV(RAND(),$C$14,0.033))</f>
        <v/>
      </c>
      <c r="J831" s="33">
        <f>($C$7*$C$8/365)*F831</f>
        <v/>
      </c>
      <c r="K831" s="33">
        <f>$C$7*G831*$C$12*H831</f>
        <v/>
      </c>
      <c r="L831" s="33">
        <f>$C$7*I831*$C$15</f>
        <v/>
      </c>
      <c r="M831" s="33">
        <f>J831-K831-L831</f>
        <v/>
      </c>
    </row>
    <row r="832">
      <c r="E832" s="20" t="n">
        <v>824</v>
      </c>
      <c r="F832" s="32">
        <f>MAX(0.03,MIN(0.18,NORMINV(RAND(),$C$9,$C$10)))</f>
        <v/>
      </c>
      <c r="G832" s="32">
        <f>MAX(0.02,MIN(0.9,NORMINV(RAND(),$C$11,0.10)))</f>
        <v/>
      </c>
      <c r="H832" s="32">
        <f>MAX(0.02,MIN(0.98,NORMINV(RAND(),$C$13,0.15)))</f>
        <v/>
      </c>
      <c r="I832" s="32">
        <f>MAX(0,NORMINV(RAND(),$C$14,0.033))</f>
        <v/>
      </c>
      <c r="J832" s="33">
        <f>($C$7*$C$8/365)*F832</f>
        <v/>
      </c>
      <c r="K832" s="33">
        <f>$C$7*G832*$C$12*H832</f>
        <v/>
      </c>
      <c r="L832" s="33">
        <f>$C$7*I832*$C$15</f>
        <v/>
      </c>
      <c r="M832" s="33">
        <f>J832-K832-L832</f>
        <v/>
      </c>
    </row>
    <row r="833">
      <c r="E833" s="20" t="n">
        <v>825</v>
      </c>
      <c r="F833" s="32">
        <f>MAX(0.03,MIN(0.18,NORMINV(RAND(),$C$9,$C$10)))</f>
        <v/>
      </c>
      <c r="G833" s="32">
        <f>MAX(0.02,MIN(0.9,NORMINV(RAND(),$C$11,0.10)))</f>
        <v/>
      </c>
      <c r="H833" s="32">
        <f>MAX(0.02,MIN(0.98,NORMINV(RAND(),$C$13,0.15)))</f>
        <v/>
      </c>
      <c r="I833" s="32">
        <f>MAX(0,NORMINV(RAND(),$C$14,0.033))</f>
        <v/>
      </c>
      <c r="J833" s="33">
        <f>($C$7*$C$8/365)*F833</f>
        <v/>
      </c>
      <c r="K833" s="33">
        <f>$C$7*G833*$C$12*H833</f>
        <v/>
      </c>
      <c r="L833" s="33">
        <f>$C$7*I833*$C$15</f>
        <v/>
      </c>
      <c r="M833" s="33">
        <f>J833-K833-L833</f>
        <v/>
      </c>
    </row>
    <row r="834">
      <c r="E834" s="20" t="n">
        <v>826</v>
      </c>
      <c r="F834" s="32">
        <f>MAX(0.03,MIN(0.18,NORMINV(RAND(),$C$9,$C$10)))</f>
        <v/>
      </c>
      <c r="G834" s="32">
        <f>MAX(0.02,MIN(0.9,NORMINV(RAND(),$C$11,0.10)))</f>
        <v/>
      </c>
      <c r="H834" s="32">
        <f>MAX(0.02,MIN(0.98,NORMINV(RAND(),$C$13,0.15)))</f>
        <v/>
      </c>
      <c r="I834" s="32">
        <f>MAX(0,NORMINV(RAND(),$C$14,0.033))</f>
        <v/>
      </c>
      <c r="J834" s="33">
        <f>($C$7*$C$8/365)*F834</f>
        <v/>
      </c>
      <c r="K834" s="33">
        <f>$C$7*G834*$C$12*H834</f>
        <v/>
      </c>
      <c r="L834" s="33">
        <f>$C$7*I834*$C$15</f>
        <v/>
      </c>
      <c r="M834" s="33">
        <f>J834-K834-L834</f>
        <v/>
      </c>
    </row>
    <row r="835">
      <c r="E835" s="20" t="n">
        <v>827</v>
      </c>
      <c r="F835" s="32">
        <f>MAX(0.03,MIN(0.18,NORMINV(RAND(),$C$9,$C$10)))</f>
        <v/>
      </c>
      <c r="G835" s="32">
        <f>MAX(0.02,MIN(0.9,NORMINV(RAND(),$C$11,0.10)))</f>
        <v/>
      </c>
      <c r="H835" s="32">
        <f>MAX(0.02,MIN(0.98,NORMINV(RAND(),$C$13,0.15)))</f>
        <v/>
      </c>
      <c r="I835" s="32">
        <f>MAX(0,NORMINV(RAND(),$C$14,0.033))</f>
        <v/>
      </c>
      <c r="J835" s="33">
        <f>($C$7*$C$8/365)*F835</f>
        <v/>
      </c>
      <c r="K835" s="33">
        <f>$C$7*G835*$C$12*H835</f>
        <v/>
      </c>
      <c r="L835" s="33">
        <f>$C$7*I835*$C$15</f>
        <v/>
      </c>
      <c r="M835" s="33">
        <f>J835-K835-L835</f>
        <v/>
      </c>
    </row>
    <row r="836">
      <c r="E836" s="20" t="n">
        <v>828</v>
      </c>
      <c r="F836" s="32">
        <f>MAX(0.03,MIN(0.18,NORMINV(RAND(),$C$9,$C$10)))</f>
        <v/>
      </c>
      <c r="G836" s="32">
        <f>MAX(0.02,MIN(0.9,NORMINV(RAND(),$C$11,0.10)))</f>
        <v/>
      </c>
      <c r="H836" s="32">
        <f>MAX(0.02,MIN(0.98,NORMINV(RAND(),$C$13,0.15)))</f>
        <v/>
      </c>
      <c r="I836" s="32">
        <f>MAX(0,NORMINV(RAND(),$C$14,0.033))</f>
        <v/>
      </c>
      <c r="J836" s="33">
        <f>($C$7*$C$8/365)*F836</f>
        <v/>
      </c>
      <c r="K836" s="33">
        <f>$C$7*G836*$C$12*H836</f>
        <v/>
      </c>
      <c r="L836" s="33">
        <f>$C$7*I836*$C$15</f>
        <v/>
      </c>
      <c r="M836" s="33">
        <f>J836-K836-L836</f>
        <v/>
      </c>
    </row>
    <row r="837">
      <c r="E837" s="20" t="n">
        <v>829</v>
      </c>
      <c r="F837" s="32">
        <f>MAX(0.03,MIN(0.18,NORMINV(RAND(),$C$9,$C$10)))</f>
        <v/>
      </c>
      <c r="G837" s="32">
        <f>MAX(0.02,MIN(0.9,NORMINV(RAND(),$C$11,0.10)))</f>
        <v/>
      </c>
      <c r="H837" s="32">
        <f>MAX(0.02,MIN(0.98,NORMINV(RAND(),$C$13,0.15)))</f>
        <v/>
      </c>
      <c r="I837" s="32">
        <f>MAX(0,NORMINV(RAND(),$C$14,0.033))</f>
        <v/>
      </c>
      <c r="J837" s="33">
        <f>($C$7*$C$8/365)*F837</f>
        <v/>
      </c>
      <c r="K837" s="33">
        <f>$C$7*G837*$C$12*H837</f>
        <v/>
      </c>
      <c r="L837" s="33">
        <f>$C$7*I837*$C$15</f>
        <v/>
      </c>
      <c r="M837" s="33">
        <f>J837-K837-L837</f>
        <v/>
      </c>
    </row>
    <row r="838">
      <c r="E838" s="20" t="n">
        <v>830</v>
      </c>
      <c r="F838" s="32">
        <f>MAX(0.03,MIN(0.18,NORMINV(RAND(),$C$9,$C$10)))</f>
        <v/>
      </c>
      <c r="G838" s="32">
        <f>MAX(0.02,MIN(0.9,NORMINV(RAND(),$C$11,0.10)))</f>
        <v/>
      </c>
      <c r="H838" s="32">
        <f>MAX(0.02,MIN(0.98,NORMINV(RAND(),$C$13,0.15)))</f>
        <v/>
      </c>
      <c r="I838" s="32">
        <f>MAX(0,NORMINV(RAND(),$C$14,0.033))</f>
        <v/>
      </c>
      <c r="J838" s="33">
        <f>($C$7*$C$8/365)*F838</f>
        <v/>
      </c>
      <c r="K838" s="33">
        <f>$C$7*G838*$C$12*H838</f>
        <v/>
      </c>
      <c r="L838" s="33">
        <f>$C$7*I838*$C$15</f>
        <v/>
      </c>
      <c r="M838" s="33">
        <f>J838-K838-L838</f>
        <v/>
      </c>
    </row>
    <row r="839">
      <c r="E839" s="20" t="n">
        <v>831</v>
      </c>
      <c r="F839" s="32">
        <f>MAX(0.03,MIN(0.18,NORMINV(RAND(),$C$9,$C$10)))</f>
        <v/>
      </c>
      <c r="G839" s="32">
        <f>MAX(0.02,MIN(0.9,NORMINV(RAND(),$C$11,0.10)))</f>
        <v/>
      </c>
      <c r="H839" s="32">
        <f>MAX(0.02,MIN(0.98,NORMINV(RAND(),$C$13,0.15)))</f>
        <v/>
      </c>
      <c r="I839" s="32">
        <f>MAX(0,NORMINV(RAND(),$C$14,0.033))</f>
        <v/>
      </c>
      <c r="J839" s="33">
        <f>($C$7*$C$8/365)*F839</f>
        <v/>
      </c>
      <c r="K839" s="33">
        <f>$C$7*G839*$C$12*H839</f>
        <v/>
      </c>
      <c r="L839" s="33">
        <f>$C$7*I839*$C$15</f>
        <v/>
      </c>
      <c r="M839" s="33">
        <f>J839-K839-L839</f>
        <v/>
      </c>
    </row>
    <row r="840">
      <c r="E840" s="20" t="n">
        <v>832</v>
      </c>
      <c r="F840" s="32">
        <f>MAX(0.03,MIN(0.18,NORMINV(RAND(),$C$9,$C$10)))</f>
        <v/>
      </c>
      <c r="G840" s="32">
        <f>MAX(0.02,MIN(0.9,NORMINV(RAND(),$C$11,0.10)))</f>
        <v/>
      </c>
      <c r="H840" s="32">
        <f>MAX(0.02,MIN(0.98,NORMINV(RAND(),$C$13,0.15)))</f>
        <v/>
      </c>
      <c r="I840" s="32">
        <f>MAX(0,NORMINV(RAND(),$C$14,0.033))</f>
        <v/>
      </c>
      <c r="J840" s="33">
        <f>($C$7*$C$8/365)*F840</f>
        <v/>
      </c>
      <c r="K840" s="33">
        <f>$C$7*G840*$C$12*H840</f>
        <v/>
      </c>
      <c r="L840" s="33">
        <f>$C$7*I840*$C$15</f>
        <v/>
      </c>
      <c r="M840" s="33">
        <f>J840-K840-L840</f>
        <v/>
      </c>
    </row>
    <row r="841">
      <c r="E841" s="20" t="n">
        <v>833</v>
      </c>
      <c r="F841" s="32">
        <f>MAX(0.03,MIN(0.18,NORMINV(RAND(),$C$9,$C$10)))</f>
        <v/>
      </c>
      <c r="G841" s="32">
        <f>MAX(0.02,MIN(0.9,NORMINV(RAND(),$C$11,0.10)))</f>
        <v/>
      </c>
      <c r="H841" s="32">
        <f>MAX(0.02,MIN(0.98,NORMINV(RAND(),$C$13,0.15)))</f>
        <v/>
      </c>
      <c r="I841" s="32">
        <f>MAX(0,NORMINV(RAND(),$C$14,0.033))</f>
        <v/>
      </c>
      <c r="J841" s="33">
        <f>($C$7*$C$8/365)*F841</f>
        <v/>
      </c>
      <c r="K841" s="33">
        <f>$C$7*G841*$C$12*H841</f>
        <v/>
      </c>
      <c r="L841" s="33">
        <f>$C$7*I841*$C$15</f>
        <v/>
      </c>
      <c r="M841" s="33">
        <f>J841-K841-L841</f>
        <v/>
      </c>
    </row>
    <row r="842">
      <c r="E842" s="20" t="n">
        <v>834</v>
      </c>
      <c r="F842" s="32">
        <f>MAX(0.03,MIN(0.18,NORMINV(RAND(),$C$9,$C$10)))</f>
        <v/>
      </c>
      <c r="G842" s="32">
        <f>MAX(0.02,MIN(0.9,NORMINV(RAND(),$C$11,0.10)))</f>
        <v/>
      </c>
      <c r="H842" s="32">
        <f>MAX(0.02,MIN(0.98,NORMINV(RAND(),$C$13,0.15)))</f>
        <v/>
      </c>
      <c r="I842" s="32">
        <f>MAX(0,NORMINV(RAND(),$C$14,0.033))</f>
        <v/>
      </c>
      <c r="J842" s="33">
        <f>($C$7*$C$8/365)*F842</f>
        <v/>
      </c>
      <c r="K842" s="33">
        <f>$C$7*G842*$C$12*H842</f>
        <v/>
      </c>
      <c r="L842" s="33">
        <f>$C$7*I842*$C$15</f>
        <v/>
      </c>
      <c r="M842" s="33">
        <f>J842-K842-L842</f>
        <v/>
      </c>
    </row>
    <row r="843">
      <c r="E843" s="20" t="n">
        <v>835</v>
      </c>
      <c r="F843" s="32">
        <f>MAX(0.03,MIN(0.18,NORMINV(RAND(),$C$9,$C$10)))</f>
        <v/>
      </c>
      <c r="G843" s="32">
        <f>MAX(0.02,MIN(0.9,NORMINV(RAND(),$C$11,0.10)))</f>
        <v/>
      </c>
      <c r="H843" s="32">
        <f>MAX(0.02,MIN(0.98,NORMINV(RAND(),$C$13,0.15)))</f>
        <v/>
      </c>
      <c r="I843" s="32">
        <f>MAX(0,NORMINV(RAND(),$C$14,0.033))</f>
        <v/>
      </c>
      <c r="J843" s="33">
        <f>($C$7*$C$8/365)*F843</f>
        <v/>
      </c>
      <c r="K843" s="33">
        <f>$C$7*G843*$C$12*H843</f>
        <v/>
      </c>
      <c r="L843" s="33">
        <f>$C$7*I843*$C$15</f>
        <v/>
      </c>
      <c r="M843" s="33">
        <f>J843-K843-L843</f>
        <v/>
      </c>
    </row>
    <row r="844">
      <c r="E844" s="20" t="n">
        <v>836</v>
      </c>
      <c r="F844" s="32">
        <f>MAX(0.03,MIN(0.18,NORMINV(RAND(),$C$9,$C$10)))</f>
        <v/>
      </c>
      <c r="G844" s="32">
        <f>MAX(0.02,MIN(0.9,NORMINV(RAND(),$C$11,0.10)))</f>
        <v/>
      </c>
      <c r="H844" s="32">
        <f>MAX(0.02,MIN(0.98,NORMINV(RAND(),$C$13,0.15)))</f>
        <v/>
      </c>
      <c r="I844" s="32">
        <f>MAX(0,NORMINV(RAND(),$C$14,0.033))</f>
        <v/>
      </c>
      <c r="J844" s="33">
        <f>($C$7*$C$8/365)*F844</f>
        <v/>
      </c>
      <c r="K844" s="33">
        <f>$C$7*G844*$C$12*H844</f>
        <v/>
      </c>
      <c r="L844" s="33">
        <f>$C$7*I844*$C$15</f>
        <v/>
      </c>
      <c r="M844" s="33">
        <f>J844-K844-L844</f>
        <v/>
      </c>
    </row>
    <row r="845">
      <c r="E845" s="20" t="n">
        <v>837</v>
      </c>
      <c r="F845" s="32">
        <f>MAX(0.03,MIN(0.18,NORMINV(RAND(),$C$9,$C$10)))</f>
        <v/>
      </c>
      <c r="G845" s="32">
        <f>MAX(0.02,MIN(0.9,NORMINV(RAND(),$C$11,0.10)))</f>
        <v/>
      </c>
      <c r="H845" s="32">
        <f>MAX(0.02,MIN(0.98,NORMINV(RAND(),$C$13,0.15)))</f>
        <v/>
      </c>
      <c r="I845" s="32">
        <f>MAX(0,NORMINV(RAND(),$C$14,0.033))</f>
        <v/>
      </c>
      <c r="J845" s="33">
        <f>($C$7*$C$8/365)*F845</f>
        <v/>
      </c>
      <c r="K845" s="33">
        <f>$C$7*G845*$C$12*H845</f>
        <v/>
      </c>
      <c r="L845" s="33">
        <f>$C$7*I845*$C$15</f>
        <v/>
      </c>
      <c r="M845" s="33">
        <f>J845-K845-L845</f>
        <v/>
      </c>
    </row>
    <row r="846">
      <c r="E846" s="20" t="n">
        <v>838</v>
      </c>
      <c r="F846" s="32">
        <f>MAX(0.03,MIN(0.18,NORMINV(RAND(),$C$9,$C$10)))</f>
        <v/>
      </c>
      <c r="G846" s="32">
        <f>MAX(0.02,MIN(0.9,NORMINV(RAND(),$C$11,0.10)))</f>
        <v/>
      </c>
      <c r="H846" s="32">
        <f>MAX(0.02,MIN(0.98,NORMINV(RAND(),$C$13,0.15)))</f>
        <v/>
      </c>
      <c r="I846" s="32">
        <f>MAX(0,NORMINV(RAND(),$C$14,0.033))</f>
        <v/>
      </c>
      <c r="J846" s="33">
        <f>($C$7*$C$8/365)*F846</f>
        <v/>
      </c>
      <c r="K846" s="33">
        <f>$C$7*G846*$C$12*H846</f>
        <v/>
      </c>
      <c r="L846" s="33">
        <f>$C$7*I846*$C$15</f>
        <v/>
      </c>
      <c r="M846" s="33">
        <f>J846-K846-L846</f>
        <v/>
      </c>
    </row>
    <row r="847">
      <c r="E847" s="20" t="n">
        <v>839</v>
      </c>
      <c r="F847" s="32">
        <f>MAX(0.03,MIN(0.18,NORMINV(RAND(),$C$9,$C$10)))</f>
        <v/>
      </c>
      <c r="G847" s="32">
        <f>MAX(0.02,MIN(0.9,NORMINV(RAND(),$C$11,0.10)))</f>
        <v/>
      </c>
      <c r="H847" s="32">
        <f>MAX(0.02,MIN(0.98,NORMINV(RAND(),$C$13,0.15)))</f>
        <v/>
      </c>
      <c r="I847" s="32">
        <f>MAX(0,NORMINV(RAND(),$C$14,0.033))</f>
        <v/>
      </c>
      <c r="J847" s="33">
        <f>($C$7*$C$8/365)*F847</f>
        <v/>
      </c>
      <c r="K847" s="33">
        <f>$C$7*G847*$C$12*H847</f>
        <v/>
      </c>
      <c r="L847" s="33">
        <f>$C$7*I847*$C$15</f>
        <v/>
      </c>
      <c r="M847" s="33">
        <f>J847-K847-L847</f>
        <v/>
      </c>
    </row>
    <row r="848">
      <c r="E848" s="20" t="n">
        <v>840</v>
      </c>
      <c r="F848" s="32">
        <f>MAX(0.03,MIN(0.18,NORMINV(RAND(),$C$9,$C$10)))</f>
        <v/>
      </c>
      <c r="G848" s="32">
        <f>MAX(0.02,MIN(0.9,NORMINV(RAND(),$C$11,0.10)))</f>
        <v/>
      </c>
      <c r="H848" s="32">
        <f>MAX(0.02,MIN(0.98,NORMINV(RAND(),$C$13,0.15)))</f>
        <v/>
      </c>
      <c r="I848" s="32">
        <f>MAX(0,NORMINV(RAND(),$C$14,0.033))</f>
        <v/>
      </c>
      <c r="J848" s="33">
        <f>($C$7*$C$8/365)*F848</f>
        <v/>
      </c>
      <c r="K848" s="33">
        <f>$C$7*G848*$C$12*H848</f>
        <v/>
      </c>
      <c r="L848" s="33">
        <f>$C$7*I848*$C$15</f>
        <v/>
      </c>
      <c r="M848" s="33">
        <f>J848-K848-L848</f>
        <v/>
      </c>
    </row>
    <row r="849">
      <c r="E849" s="20" t="n">
        <v>841</v>
      </c>
      <c r="F849" s="32">
        <f>MAX(0.03,MIN(0.18,NORMINV(RAND(),$C$9,$C$10)))</f>
        <v/>
      </c>
      <c r="G849" s="32">
        <f>MAX(0.02,MIN(0.9,NORMINV(RAND(),$C$11,0.10)))</f>
        <v/>
      </c>
      <c r="H849" s="32">
        <f>MAX(0.02,MIN(0.98,NORMINV(RAND(),$C$13,0.15)))</f>
        <v/>
      </c>
      <c r="I849" s="32">
        <f>MAX(0,NORMINV(RAND(),$C$14,0.033))</f>
        <v/>
      </c>
      <c r="J849" s="33">
        <f>($C$7*$C$8/365)*F849</f>
        <v/>
      </c>
      <c r="K849" s="33">
        <f>$C$7*G849*$C$12*H849</f>
        <v/>
      </c>
      <c r="L849" s="33">
        <f>$C$7*I849*$C$15</f>
        <v/>
      </c>
      <c r="M849" s="33">
        <f>J849-K849-L849</f>
        <v/>
      </c>
    </row>
    <row r="850">
      <c r="E850" s="20" t="n">
        <v>842</v>
      </c>
      <c r="F850" s="32">
        <f>MAX(0.03,MIN(0.18,NORMINV(RAND(),$C$9,$C$10)))</f>
        <v/>
      </c>
      <c r="G850" s="32">
        <f>MAX(0.02,MIN(0.9,NORMINV(RAND(),$C$11,0.10)))</f>
        <v/>
      </c>
      <c r="H850" s="32">
        <f>MAX(0.02,MIN(0.98,NORMINV(RAND(),$C$13,0.15)))</f>
        <v/>
      </c>
      <c r="I850" s="32">
        <f>MAX(0,NORMINV(RAND(),$C$14,0.033))</f>
        <v/>
      </c>
      <c r="J850" s="33">
        <f>($C$7*$C$8/365)*F850</f>
        <v/>
      </c>
      <c r="K850" s="33">
        <f>$C$7*G850*$C$12*H850</f>
        <v/>
      </c>
      <c r="L850" s="33">
        <f>$C$7*I850*$C$15</f>
        <v/>
      </c>
      <c r="M850" s="33">
        <f>J850-K850-L850</f>
        <v/>
      </c>
    </row>
    <row r="851">
      <c r="E851" s="20" t="n">
        <v>843</v>
      </c>
      <c r="F851" s="32">
        <f>MAX(0.03,MIN(0.18,NORMINV(RAND(),$C$9,$C$10)))</f>
        <v/>
      </c>
      <c r="G851" s="32">
        <f>MAX(0.02,MIN(0.9,NORMINV(RAND(),$C$11,0.10)))</f>
        <v/>
      </c>
      <c r="H851" s="32">
        <f>MAX(0.02,MIN(0.98,NORMINV(RAND(),$C$13,0.15)))</f>
        <v/>
      </c>
      <c r="I851" s="32">
        <f>MAX(0,NORMINV(RAND(),$C$14,0.033))</f>
        <v/>
      </c>
      <c r="J851" s="33">
        <f>($C$7*$C$8/365)*F851</f>
        <v/>
      </c>
      <c r="K851" s="33">
        <f>$C$7*G851*$C$12*H851</f>
        <v/>
      </c>
      <c r="L851" s="33">
        <f>$C$7*I851*$C$15</f>
        <v/>
      </c>
      <c r="M851" s="33">
        <f>J851-K851-L851</f>
        <v/>
      </c>
    </row>
    <row r="852">
      <c r="E852" s="20" t="n">
        <v>844</v>
      </c>
      <c r="F852" s="32">
        <f>MAX(0.03,MIN(0.18,NORMINV(RAND(),$C$9,$C$10)))</f>
        <v/>
      </c>
      <c r="G852" s="32">
        <f>MAX(0.02,MIN(0.9,NORMINV(RAND(),$C$11,0.10)))</f>
        <v/>
      </c>
      <c r="H852" s="32">
        <f>MAX(0.02,MIN(0.98,NORMINV(RAND(),$C$13,0.15)))</f>
        <v/>
      </c>
      <c r="I852" s="32">
        <f>MAX(0,NORMINV(RAND(),$C$14,0.033))</f>
        <v/>
      </c>
      <c r="J852" s="33">
        <f>($C$7*$C$8/365)*F852</f>
        <v/>
      </c>
      <c r="K852" s="33">
        <f>$C$7*G852*$C$12*H852</f>
        <v/>
      </c>
      <c r="L852" s="33">
        <f>$C$7*I852*$C$15</f>
        <v/>
      </c>
      <c r="M852" s="33">
        <f>J852-K852-L852</f>
        <v/>
      </c>
    </row>
    <row r="853">
      <c r="E853" s="20" t="n">
        <v>845</v>
      </c>
      <c r="F853" s="32">
        <f>MAX(0.03,MIN(0.18,NORMINV(RAND(),$C$9,$C$10)))</f>
        <v/>
      </c>
      <c r="G853" s="32">
        <f>MAX(0.02,MIN(0.9,NORMINV(RAND(),$C$11,0.10)))</f>
        <v/>
      </c>
      <c r="H853" s="32">
        <f>MAX(0.02,MIN(0.98,NORMINV(RAND(),$C$13,0.15)))</f>
        <v/>
      </c>
      <c r="I853" s="32">
        <f>MAX(0,NORMINV(RAND(),$C$14,0.033))</f>
        <v/>
      </c>
      <c r="J853" s="33">
        <f>($C$7*$C$8/365)*F853</f>
        <v/>
      </c>
      <c r="K853" s="33">
        <f>$C$7*G853*$C$12*H853</f>
        <v/>
      </c>
      <c r="L853" s="33">
        <f>$C$7*I853*$C$15</f>
        <v/>
      </c>
      <c r="M853" s="33">
        <f>J853-K853-L853</f>
        <v/>
      </c>
    </row>
    <row r="854">
      <c r="E854" s="20" t="n">
        <v>846</v>
      </c>
      <c r="F854" s="32">
        <f>MAX(0.03,MIN(0.18,NORMINV(RAND(),$C$9,$C$10)))</f>
        <v/>
      </c>
      <c r="G854" s="32">
        <f>MAX(0.02,MIN(0.9,NORMINV(RAND(),$C$11,0.10)))</f>
        <v/>
      </c>
      <c r="H854" s="32">
        <f>MAX(0.02,MIN(0.98,NORMINV(RAND(),$C$13,0.15)))</f>
        <v/>
      </c>
      <c r="I854" s="32">
        <f>MAX(0,NORMINV(RAND(),$C$14,0.033))</f>
        <v/>
      </c>
      <c r="J854" s="33">
        <f>($C$7*$C$8/365)*F854</f>
        <v/>
      </c>
      <c r="K854" s="33">
        <f>$C$7*G854*$C$12*H854</f>
        <v/>
      </c>
      <c r="L854" s="33">
        <f>$C$7*I854*$C$15</f>
        <v/>
      </c>
      <c r="M854" s="33">
        <f>J854-K854-L854</f>
        <v/>
      </c>
    </row>
    <row r="855">
      <c r="E855" s="20" t="n">
        <v>847</v>
      </c>
      <c r="F855" s="32">
        <f>MAX(0.03,MIN(0.18,NORMINV(RAND(),$C$9,$C$10)))</f>
        <v/>
      </c>
      <c r="G855" s="32">
        <f>MAX(0.02,MIN(0.9,NORMINV(RAND(),$C$11,0.10)))</f>
        <v/>
      </c>
      <c r="H855" s="32">
        <f>MAX(0.02,MIN(0.98,NORMINV(RAND(),$C$13,0.15)))</f>
        <v/>
      </c>
      <c r="I855" s="32">
        <f>MAX(0,NORMINV(RAND(),$C$14,0.033))</f>
        <v/>
      </c>
      <c r="J855" s="33">
        <f>($C$7*$C$8/365)*F855</f>
        <v/>
      </c>
      <c r="K855" s="33">
        <f>$C$7*G855*$C$12*H855</f>
        <v/>
      </c>
      <c r="L855" s="33">
        <f>$C$7*I855*$C$15</f>
        <v/>
      </c>
      <c r="M855" s="33">
        <f>J855-K855-L855</f>
        <v/>
      </c>
    </row>
    <row r="856">
      <c r="E856" s="20" t="n">
        <v>848</v>
      </c>
      <c r="F856" s="32">
        <f>MAX(0.03,MIN(0.18,NORMINV(RAND(),$C$9,$C$10)))</f>
        <v/>
      </c>
      <c r="G856" s="32">
        <f>MAX(0.02,MIN(0.9,NORMINV(RAND(),$C$11,0.10)))</f>
        <v/>
      </c>
      <c r="H856" s="32">
        <f>MAX(0.02,MIN(0.98,NORMINV(RAND(),$C$13,0.15)))</f>
        <v/>
      </c>
      <c r="I856" s="32">
        <f>MAX(0,NORMINV(RAND(),$C$14,0.033))</f>
        <v/>
      </c>
      <c r="J856" s="33">
        <f>($C$7*$C$8/365)*F856</f>
        <v/>
      </c>
      <c r="K856" s="33">
        <f>$C$7*G856*$C$12*H856</f>
        <v/>
      </c>
      <c r="L856" s="33">
        <f>$C$7*I856*$C$15</f>
        <v/>
      </c>
      <c r="M856" s="33">
        <f>J856-K856-L856</f>
        <v/>
      </c>
    </row>
    <row r="857">
      <c r="E857" s="20" t="n">
        <v>849</v>
      </c>
      <c r="F857" s="32">
        <f>MAX(0.03,MIN(0.18,NORMINV(RAND(),$C$9,$C$10)))</f>
        <v/>
      </c>
      <c r="G857" s="32">
        <f>MAX(0.02,MIN(0.9,NORMINV(RAND(),$C$11,0.10)))</f>
        <v/>
      </c>
      <c r="H857" s="32">
        <f>MAX(0.02,MIN(0.98,NORMINV(RAND(),$C$13,0.15)))</f>
        <v/>
      </c>
      <c r="I857" s="32">
        <f>MAX(0,NORMINV(RAND(),$C$14,0.033))</f>
        <v/>
      </c>
      <c r="J857" s="33">
        <f>($C$7*$C$8/365)*F857</f>
        <v/>
      </c>
      <c r="K857" s="33">
        <f>$C$7*G857*$C$12*H857</f>
        <v/>
      </c>
      <c r="L857" s="33">
        <f>$C$7*I857*$C$15</f>
        <v/>
      </c>
      <c r="M857" s="33">
        <f>J857-K857-L857</f>
        <v/>
      </c>
    </row>
    <row r="858">
      <c r="E858" s="20" t="n">
        <v>850</v>
      </c>
      <c r="F858" s="32">
        <f>MAX(0.03,MIN(0.18,NORMINV(RAND(),$C$9,$C$10)))</f>
        <v/>
      </c>
      <c r="G858" s="32">
        <f>MAX(0.02,MIN(0.9,NORMINV(RAND(),$C$11,0.10)))</f>
        <v/>
      </c>
      <c r="H858" s="32">
        <f>MAX(0.02,MIN(0.98,NORMINV(RAND(),$C$13,0.15)))</f>
        <v/>
      </c>
      <c r="I858" s="32">
        <f>MAX(0,NORMINV(RAND(),$C$14,0.033))</f>
        <v/>
      </c>
      <c r="J858" s="33">
        <f>($C$7*$C$8/365)*F858</f>
        <v/>
      </c>
      <c r="K858" s="33">
        <f>$C$7*G858*$C$12*H858</f>
        <v/>
      </c>
      <c r="L858" s="33">
        <f>$C$7*I858*$C$15</f>
        <v/>
      </c>
      <c r="M858" s="33">
        <f>J858-K858-L858</f>
        <v/>
      </c>
    </row>
    <row r="859">
      <c r="E859" s="20" t="n">
        <v>851</v>
      </c>
      <c r="F859" s="32">
        <f>MAX(0.03,MIN(0.18,NORMINV(RAND(),$C$9,$C$10)))</f>
        <v/>
      </c>
      <c r="G859" s="32">
        <f>MAX(0.02,MIN(0.9,NORMINV(RAND(),$C$11,0.10)))</f>
        <v/>
      </c>
      <c r="H859" s="32">
        <f>MAX(0.02,MIN(0.98,NORMINV(RAND(),$C$13,0.15)))</f>
        <v/>
      </c>
      <c r="I859" s="32">
        <f>MAX(0,NORMINV(RAND(),$C$14,0.033))</f>
        <v/>
      </c>
      <c r="J859" s="33">
        <f>($C$7*$C$8/365)*F859</f>
        <v/>
      </c>
      <c r="K859" s="33">
        <f>$C$7*G859*$C$12*H859</f>
        <v/>
      </c>
      <c r="L859" s="33">
        <f>$C$7*I859*$C$15</f>
        <v/>
      </c>
      <c r="M859" s="33">
        <f>J859-K859-L859</f>
        <v/>
      </c>
    </row>
    <row r="860">
      <c r="E860" s="20" t="n">
        <v>852</v>
      </c>
      <c r="F860" s="32">
        <f>MAX(0.03,MIN(0.18,NORMINV(RAND(),$C$9,$C$10)))</f>
        <v/>
      </c>
      <c r="G860" s="32">
        <f>MAX(0.02,MIN(0.9,NORMINV(RAND(),$C$11,0.10)))</f>
        <v/>
      </c>
      <c r="H860" s="32">
        <f>MAX(0.02,MIN(0.98,NORMINV(RAND(),$C$13,0.15)))</f>
        <v/>
      </c>
      <c r="I860" s="32">
        <f>MAX(0,NORMINV(RAND(),$C$14,0.033))</f>
        <v/>
      </c>
      <c r="J860" s="33">
        <f>($C$7*$C$8/365)*F860</f>
        <v/>
      </c>
      <c r="K860" s="33">
        <f>$C$7*G860*$C$12*H860</f>
        <v/>
      </c>
      <c r="L860" s="33">
        <f>$C$7*I860*$C$15</f>
        <v/>
      </c>
      <c r="M860" s="33">
        <f>J860-K860-L860</f>
        <v/>
      </c>
    </row>
    <row r="861">
      <c r="E861" s="20" t="n">
        <v>853</v>
      </c>
      <c r="F861" s="32">
        <f>MAX(0.03,MIN(0.18,NORMINV(RAND(),$C$9,$C$10)))</f>
        <v/>
      </c>
      <c r="G861" s="32">
        <f>MAX(0.02,MIN(0.9,NORMINV(RAND(),$C$11,0.10)))</f>
        <v/>
      </c>
      <c r="H861" s="32">
        <f>MAX(0.02,MIN(0.98,NORMINV(RAND(),$C$13,0.15)))</f>
        <v/>
      </c>
      <c r="I861" s="32">
        <f>MAX(0,NORMINV(RAND(),$C$14,0.033))</f>
        <v/>
      </c>
      <c r="J861" s="33">
        <f>($C$7*$C$8/365)*F861</f>
        <v/>
      </c>
      <c r="K861" s="33">
        <f>$C$7*G861*$C$12*H861</f>
        <v/>
      </c>
      <c r="L861" s="33">
        <f>$C$7*I861*$C$15</f>
        <v/>
      </c>
      <c r="M861" s="33">
        <f>J861-K861-L861</f>
        <v/>
      </c>
    </row>
    <row r="862">
      <c r="E862" s="20" t="n">
        <v>854</v>
      </c>
      <c r="F862" s="32">
        <f>MAX(0.03,MIN(0.18,NORMINV(RAND(),$C$9,$C$10)))</f>
        <v/>
      </c>
      <c r="G862" s="32">
        <f>MAX(0.02,MIN(0.9,NORMINV(RAND(),$C$11,0.10)))</f>
        <v/>
      </c>
      <c r="H862" s="32">
        <f>MAX(0.02,MIN(0.98,NORMINV(RAND(),$C$13,0.15)))</f>
        <v/>
      </c>
      <c r="I862" s="32">
        <f>MAX(0,NORMINV(RAND(),$C$14,0.033))</f>
        <v/>
      </c>
      <c r="J862" s="33">
        <f>($C$7*$C$8/365)*F862</f>
        <v/>
      </c>
      <c r="K862" s="33">
        <f>$C$7*G862*$C$12*H862</f>
        <v/>
      </c>
      <c r="L862" s="33">
        <f>$C$7*I862*$C$15</f>
        <v/>
      </c>
      <c r="M862" s="33">
        <f>J862-K862-L862</f>
        <v/>
      </c>
    </row>
    <row r="863">
      <c r="E863" s="20" t="n">
        <v>855</v>
      </c>
      <c r="F863" s="32">
        <f>MAX(0.03,MIN(0.18,NORMINV(RAND(),$C$9,$C$10)))</f>
        <v/>
      </c>
      <c r="G863" s="32">
        <f>MAX(0.02,MIN(0.9,NORMINV(RAND(),$C$11,0.10)))</f>
        <v/>
      </c>
      <c r="H863" s="32">
        <f>MAX(0.02,MIN(0.98,NORMINV(RAND(),$C$13,0.15)))</f>
        <v/>
      </c>
      <c r="I863" s="32">
        <f>MAX(0,NORMINV(RAND(),$C$14,0.033))</f>
        <v/>
      </c>
      <c r="J863" s="33">
        <f>($C$7*$C$8/365)*F863</f>
        <v/>
      </c>
      <c r="K863" s="33">
        <f>$C$7*G863*$C$12*H863</f>
        <v/>
      </c>
      <c r="L863" s="33">
        <f>$C$7*I863*$C$15</f>
        <v/>
      </c>
      <c r="M863" s="33">
        <f>J863-K863-L863</f>
        <v/>
      </c>
    </row>
    <row r="864">
      <c r="E864" s="20" t="n">
        <v>856</v>
      </c>
      <c r="F864" s="32">
        <f>MAX(0.03,MIN(0.18,NORMINV(RAND(),$C$9,$C$10)))</f>
        <v/>
      </c>
      <c r="G864" s="32">
        <f>MAX(0.02,MIN(0.9,NORMINV(RAND(),$C$11,0.10)))</f>
        <v/>
      </c>
      <c r="H864" s="32">
        <f>MAX(0.02,MIN(0.98,NORMINV(RAND(),$C$13,0.15)))</f>
        <v/>
      </c>
      <c r="I864" s="32">
        <f>MAX(0,NORMINV(RAND(),$C$14,0.033))</f>
        <v/>
      </c>
      <c r="J864" s="33">
        <f>($C$7*$C$8/365)*F864</f>
        <v/>
      </c>
      <c r="K864" s="33">
        <f>$C$7*G864*$C$12*H864</f>
        <v/>
      </c>
      <c r="L864" s="33">
        <f>$C$7*I864*$C$15</f>
        <v/>
      </c>
      <c r="M864" s="33">
        <f>J864-K864-L864</f>
        <v/>
      </c>
    </row>
    <row r="865">
      <c r="E865" s="20" t="n">
        <v>857</v>
      </c>
      <c r="F865" s="32">
        <f>MAX(0.03,MIN(0.18,NORMINV(RAND(),$C$9,$C$10)))</f>
        <v/>
      </c>
      <c r="G865" s="32">
        <f>MAX(0.02,MIN(0.9,NORMINV(RAND(),$C$11,0.10)))</f>
        <v/>
      </c>
      <c r="H865" s="32">
        <f>MAX(0.02,MIN(0.98,NORMINV(RAND(),$C$13,0.15)))</f>
        <v/>
      </c>
      <c r="I865" s="32">
        <f>MAX(0,NORMINV(RAND(),$C$14,0.033))</f>
        <v/>
      </c>
      <c r="J865" s="33">
        <f>($C$7*$C$8/365)*F865</f>
        <v/>
      </c>
      <c r="K865" s="33">
        <f>$C$7*G865*$C$12*H865</f>
        <v/>
      </c>
      <c r="L865" s="33">
        <f>$C$7*I865*$C$15</f>
        <v/>
      </c>
      <c r="M865" s="33">
        <f>J865-K865-L865</f>
        <v/>
      </c>
    </row>
    <row r="866">
      <c r="E866" s="20" t="n">
        <v>858</v>
      </c>
      <c r="F866" s="32">
        <f>MAX(0.03,MIN(0.18,NORMINV(RAND(),$C$9,$C$10)))</f>
        <v/>
      </c>
      <c r="G866" s="32">
        <f>MAX(0.02,MIN(0.9,NORMINV(RAND(),$C$11,0.10)))</f>
        <v/>
      </c>
      <c r="H866" s="32">
        <f>MAX(0.02,MIN(0.98,NORMINV(RAND(),$C$13,0.15)))</f>
        <v/>
      </c>
      <c r="I866" s="32">
        <f>MAX(0,NORMINV(RAND(),$C$14,0.033))</f>
        <v/>
      </c>
      <c r="J866" s="33">
        <f>($C$7*$C$8/365)*F866</f>
        <v/>
      </c>
      <c r="K866" s="33">
        <f>$C$7*G866*$C$12*H866</f>
        <v/>
      </c>
      <c r="L866" s="33">
        <f>$C$7*I866*$C$15</f>
        <v/>
      </c>
      <c r="M866" s="33">
        <f>J866-K866-L866</f>
        <v/>
      </c>
    </row>
    <row r="867">
      <c r="E867" s="20" t="n">
        <v>859</v>
      </c>
      <c r="F867" s="32">
        <f>MAX(0.03,MIN(0.18,NORMINV(RAND(),$C$9,$C$10)))</f>
        <v/>
      </c>
      <c r="G867" s="32">
        <f>MAX(0.02,MIN(0.9,NORMINV(RAND(),$C$11,0.10)))</f>
        <v/>
      </c>
      <c r="H867" s="32">
        <f>MAX(0.02,MIN(0.98,NORMINV(RAND(),$C$13,0.15)))</f>
        <v/>
      </c>
      <c r="I867" s="32">
        <f>MAX(0,NORMINV(RAND(),$C$14,0.033))</f>
        <v/>
      </c>
      <c r="J867" s="33">
        <f>($C$7*$C$8/365)*F867</f>
        <v/>
      </c>
      <c r="K867" s="33">
        <f>$C$7*G867*$C$12*H867</f>
        <v/>
      </c>
      <c r="L867" s="33">
        <f>$C$7*I867*$C$15</f>
        <v/>
      </c>
      <c r="M867" s="33">
        <f>J867-K867-L867</f>
        <v/>
      </c>
    </row>
    <row r="868">
      <c r="E868" s="20" t="n">
        <v>860</v>
      </c>
      <c r="F868" s="32">
        <f>MAX(0.03,MIN(0.18,NORMINV(RAND(),$C$9,$C$10)))</f>
        <v/>
      </c>
      <c r="G868" s="32">
        <f>MAX(0.02,MIN(0.9,NORMINV(RAND(),$C$11,0.10)))</f>
        <v/>
      </c>
      <c r="H868" s="32">
        <f>MAX(0.02,MIN(0.98,NORMINV(RAND(),$C$13,0.15)))</f>
        <v/>
      </c>
      <c r="I868" s="32">
        <f>MAX(0,NORMINV(RAND(),$C$14,0.033))</f>
        <v/>
      </c>
      <c r="J868" s="33">
        <f>($C$7*$C$8/365)*F868</f>
        <v/>
      </c>
      <c r="K868" s="33">
        <f>$C$7*G868*$C$12*H868</f>
        <v/>
      </c>
      <c r="L868" s="33">
        <f>$C$7*I868*$C$15</f>
        <v/>
      </c>
      <c r="M868" s="33">
        <f>J868-K868-L868</f>
        <v/>
      </c>
    </row>
    <row r="869">
      <c r="E869" s="20" t="n">
        <v>861</v>
      </c>
      <c r="F869" s="32">
        <f>MAX(0.03,MIN(0.18,NORMINV(RAND(),$C$9,$C$10)))</f>
        <v/>
      </c>
      <c r="G869" s="32">
        <f>MAX(0.02,MIN(0.9,NORMINV(RAND(),$C$11,0.10)))</f>
        <v/>
      </c>
      <c r="H869" s="32">
        <f>MAX(0.02,MIN(0.98,NORMINV(RAND(),$C$13,0.15)))</f>
        <v/>
      </c>
      <c r="I869" s="32">
        <f>MAX(0,NORMINV(RAND(),$C$14,0.033))</f>
        <v/>
      </c>
      <c r="J869" s="33">
        <f>($C$7*$C$8/365)*F869</f>
        <v/>
      </c>
      <c r="K869" s="33">
        <f>$C$7*G869*$C$12*H869</f>
        <v/>
      </c>
      <c r="L869" s="33">
        <f>$C$7*I869*$C$15</f>
        <v/>
      </c>
      <c r="M869" s="33">
        <f>J869-K869-L869</f>
        <v/>
      </c>
    </row>
    <row r="870">
      <c r="E870" s="20" t="n">
        <v>862</v>
      </c>
      <c r="F870" s="32">
        <f>MAX(0.03,MIN(0.18,NORMINV(RAND(),$C$9,$C$10)))</f>
        <v/>
      </c>
      <c r="G870" s="32">
        <f>MAX(0.02,MIN(0.9,NORMINV(RAND(),$C$11,0.10)))</f>
        <v/>
      </c>
      <c r="H870" s="32">
        <f>MAX(0.02,MIN(0.98,NORMINV(RAND(),$C$13,0.15)))</f>
        <v/>
      </c>
      <c r="I870" s="32">
        <f>MAX(0,NORMINV(RAND(),$C$14,0.033))</f>
        <v/>
      </c>
      <c r="J870" s="33">
        <f>($C$7*$C$8/365)*F870</f>
        <v/>
      </c>
      <c r="K870" s="33">
        <f>$C$7*G870*$C$12*H870</f>
        <v/>
      </c>
      <c r="L870" s="33">
        <f>$C$7*I870*$C$15</f>
        <v/>
      </c>
      <c r="M870" s="33">
        <f>J870-K870-L870</f>
        <v/>
      </c>
    </row>
    <row r="871">
      <c r="E871" s="20" t="n">
        <v>863</v>
      </c>
      <c r="F871" s="32">
        <f>MAX(0.03,MIN(0.18,NORMINV(RAND(),$C$9,$C$10)))</f>
        <v/>
      </c>
      <c r="G871" s="32">
        <f>MAX(0.02,MIN(0.9,NORMINV(RAND(),$C$11,0.10)))</f>
        <v/>
      </c>
      <c r="H871" s="32">
        <f>MAX(0.02,MIN(0.98,NORMINV(RAND(),$C$13,0.15)))</f>
        <v/>
      </c>
      <c r="I871" s="32">
        <f>MAX(0,NORMINV(RAND(),$C$14,0.033))</f>
        <v/>
      </c>
      <c r="J871" s="33">
        <f>($C$7*$C$8/365)*F871</f>
        <v/>
      </c>
      <c r="K871" s="33">
        <f>$C$7*G871*$C$12*H871</f>
        <v/>
      </c>
      <c r="L871" s="33">
        <f>$C$7*I871*$C$15</f>
        <v/>
      </c>
      <c r="M871" s="33">
        <f>J871-K871-L871</f>
        <v/>
      </c>
    </row>
    <row r="872">
      <c r="E872" s="20" t="n">
        <v>864</v>
      </c>
      <c r="F872" s="32">
        <f>MAX(0.03,MIN(0.18,NORMINV(RAND(),$C$9,$C$10)))</f>
        <v/>
      </c>
      <c r="G872" s="32">
        <f>MAX(0.02,MIN(0.9,NORMINV(RAND(),$C$11,0.10)))</f>
        <v/>
      </c>
      <c r="H872" s="32">
        <f>MAX(0.02,MIN(0.98,NORMINV(RAND(),$C$13,0.15)))</f>
        <v/>
      </c>
      <c r="I872" s="32">
        <f>MAX(0,NORMINV(RAND(),$C$14,0.033))</f>
        <v/>
      </c>
      <c r="J872" s="33">
        <f>($C$7*$C$8/365)*F872</f>
        <v/>
      </c>
      <c r="K872" s="33">
        <f>$C$7*G872*$C$12*H872</f>
        <v/>
      </c>
      <c r="L872" s="33">
        <f>$C$7*I872*$C$15</f>
        <v/>
      </c>
      <c r="M872" s="33">
        <f>J872-K872-L872</f>
        <v/>
      </c>
    </row>
    <row r="873">
      <c r="E873" s="20" t="n">
        <v>865</v>
      </c>
      <c r="F873" s="32">
        <f>MAX(0.03,MIN(0.18,NORMINV(RAND(),$C$9,$C$10)))</f>
        <v/>
      </c>
      <c r="G873" s="32">
        <f>MAX(0.02,MIN(0.9,NORMINV(RAND(),$C$11,0.10)))</f>
        <v/>
      </c>
      <c r="H873" s="32">
        <f>MAX(0.02,MIN(0.98,NORMINV(RAND(),$C$13,0.15)))</f>
        <v/>
      </c>
      <c r="I873" s="32">
        <f>MAX(0,NORMINV(RAND(),$C$14,0.033))</f>
        <v/>
      </c>
      <c r="J873" s="33">
        <f>($C$7*$C$8/365)*F873</f>
        <v/>
      </c>
      <c r="K873" s="33">
        <f>$C$7*G873*$C$12*H873</f>
        <v/>
      </c>
      <c r="L873" s="33">
        <f>$C$7*I873*$C$15</f>
        <v/>
      </c>
      <c r="M873" s="33">
        <f>J873-K873-L873</f>
        <v/>
      </c>
    </row>
    <row r="874">
      <c r="E874" s="20" t="n">
        <v>866</v>
      </c>
      <c r="F874" s="32">
        <f>MAX(0.03,MIN(0.18,NORMINV(RAND(),$C$9,$C$10)))</f>
        <v/>
      </c>
      <c r="G874" s="32">
        <f>MAX(0.02,MIN(0.9,NORMINV(RAND(),$C$11,0.10)))</f>
        <v/>
      </c>
      <c r="H874" s="32">
        <f>MAX(0.02,MIN(0.98,NORMINV(RAND(),$C$13,0.15)))</f>
        <v/>
      </c>
      <c r="I874" s="32">
        <f>MAX(0,NORMINV(RAND(),$C$14,0.033))</f>
        <v/>
      </c>
      <c r="J874" s="33">
        <f>($C$7*$C$8/365)*F874</f>
        <v/>
      </c>
      <c r="K874" s="33">
        <f>$C$7*G874*$C$12*H874</f>
        <v/>
      </c>
      <c r="L874" s="33">
        <f>$C$7*I874*$C$15</f>
        <v/>
      </c>
      <c r="M874" s="33">
        <f>J874-K874-L874</f>
        <v/>
      </c>
    </row>
    <row r="875">
      <c r="E875" s="20" t="n">
        <v>867</v>
      </c>
      <c r="F875" s="32">
        <f>MAX(0.03,MIN(0.18,NORMINV(RAND(),$C$9,$C$10)))</f>
        <v/>
      </c>
      <c r="G875" s="32">
        <f>MAX(0.02,MIN(0.9,NORMINV(RAND(),$C$11,0.10)))</f>
        <v/>
      </c>
      <c r="H875" s="32">
        <f>MAX(0.02,MIN(0.98,NORMINV(RAND(),$C$13,0.15)))</f>
        <v/>
      </c>
      <c r="I875" s="32">
        <f>MAX(0,NORMINV(RAND(),$C$14,0.033))</f>
        <v/>
      </c>
      <c r="J875" s="33">
        <f>($C$7*$C$8/365)*F875</f>
        <v/>
      </c>
      <c r="K875" s="33">
        <f>$C$7*G875*$C$12*H875</f>
        <v/>
      </c>
      <c r="L875" s="33">
        <f>$C$7*I875*$C$15</f>
        <v/>
      </c>
      <c r="M875" s="33">
        <f>J875-K875-L875</f>
        <v/>
      </c>
    </row>
    <row r="876">
      <c r="E876" s="20" t="n">
        <v>868</v>
      </c>
      <c r="F876" s="32">
        <f>MAX(0.03,MIN(0.18,NORMINV(RAND(),$C$9,$C$10)))</f>
        <v/>
      </c>
      <c r="G876" s="32">
        <f>MAX(0.02,MIN(0.9,NORMINV(RAND(),$C$11,0.10)))</f>
        <v/>
      </c>
      <c r="H876" s="32">
        <f>MAX(0.02,MIN(0.98,NORMINV(RAND(),$C$13,0.15)))</f>
        <v/>
      </c>
      <c r="I876" s="32">
        <f>MAX(0,NORMINV(RAND(),$C$14,0.033))</f>
        <v/>
      </c>
      <c r="J876" s="33">
        <f>($C$7*$C$8/365)*F876</f>
        <v/>
      </c>
      <c r="K876" s="33">
        <f>$C$7*G876*$C$12*H876</f>
        <v/>
      </c>
      <c r="L876" s="33">
        <f>$C$7*I876*$C$15</f>
        <v/>
      </c>
      <c r="M876" s="33">
        <f>J876-K876-L876</f>
        <v/>
      </c>
    </row>
    <row r="877">
      <c r="E877" s="20" t="n">
        <v>869</v>
      </c>
      <c r="F877" s="32">
        <f>MAX(0.03,MIN(0.18,NORMINV(RAND(),$C$9,$C$10)))</f>
        <v/>
      </c>
      <c r="G877" s="32">
        <f>MAX(0.02,MIN(0.9,NORMINV(RAND(),$C$11,0.10)))</f>
        <v/>
      </c>
      <c r="H877" s="32">
        <f>MAX(0.02,MIN(0.98,NORMINV(RAND(),$C$13,0.15)))</f>
        <v/>
      </c>
      <c r="I877" s="32">
        <f>MAX(0,NORMINV(RAND(),$C$14,0.033))</f>
        <v/>
      </c>
      <c r="J877" s="33">
        <f>($C$7*$C$8/365)*F877</f>
        <v/>
      </c>
      <c r="K877" s="33">
        <f>$C$7*G877*$C$12*H877</f>
        <v/>
      </c>
      <c r="L877" s="33">
        <f>$C$7*I877*$C$15</f>
        <v/>
      </c>
      <c r="M877" s="33">
        <f>J877-K877-L877</f>
        <v/>
      </c>
    </row>
    <row r="878">
      <c r="E878" s="20" t="n">
        <v>870</v>
      </c>
      <c r="F878" s="32">
        <f>MAX(0.03,MIN(0.18,NORMINV(RAND(),$C$9,$C$10)))</f>
        <v/>
      </c>
      <c r="G878" s="32">
        <f>MAX(0.02,MIN(0.9,NORMINV(RAND(),$C$11,0.10)))</f>
        <v/>
      </c>
      <c r="H878" s="32">
        <f>MAX(0.02,MIN(0.98,NORMINV(RAND(),$C$13,0.15)))</f>
        <v/>
      </c>
      <c r="I878" s="32">
        <f>MAX(0,NORMINV(RAND(),$C$14,0.033))</f>
        <v/>
      </c>
      <c r="J878" s="33">
        <f>($C$7*$C$8/365)*F878</f>
        <v/>
      </c>
      <c r="K878" s="33">
        <f>$C$7*G878*$C$12*H878</f>
        <v/>
      </c>
      <c r="L878" s="33">
        <f>$C$7*I878*$C$15</f>
        <v/>
      </c>
      <c r="M878" s="33">
        <f>J878-K878-L878</f>
        <v/>
      </c>
    </row>
    <row r="879">
      <c r="E879" s="20" t="n">
        <v>871</v>
      </c>
      <c r="F879" s="32">
        <f>MAX(0.03,MIN(0.18,NORMINV(RAND(),$C$9,$C$10)))</f>
        <v/>
      </c>
      <c r="G879" s="32">
        <f>MAX(0.02,MIN(0.9,NORMINV(RAND(),$C$11,0.10)))</f>
        <v/>
      </c>
      <c r="H879" s="32">
        <f>MAX(0.02,MIN(0.98,NORMINV(RAND(),$C$13,0.15)))</f>
        <v/>
      </c>
      <c r="I879" s="32">
        <f>MAX(0,NORMINV(RAND(),$C$14,0.033))</f>
        <v/>
      </c>
      <c r="J879" s="33">
        <f>($C$7*$C$8/365)*F879</f>
        <v/>
      </c>
      <c r="K879" s="33">
        <f>$C$7*G879*$C$12*H879</f>
        <v/>
      </c>
      <c r="L879" s="33">
        <f>$C$7*I879*$C$15</f>
        <v/>
      </c>
      <c r="M879" s="33">
        <f>J879-K879-L879</f>
        <v/>
      </c>
    </row>
    <row r="880">
      <c r="E880" s="20" t="n">
        <v>872</v>
      </c>
      <c r="F880" s="32">
        <f>MAX(0.03,MIN(0.18,NORMINV(RAND(),$C$9,$C$10)))</f>
        <v/>
      </c>
      <c r="G880" s="32">
        <f>MAX(0.02,MIN(0.9,NORMINV(RAND(),$C$11,0.10)))</f>
        <v/>
      </c>
      <c r="H880" s="32">
        <f>MAX(0.02,MIN(0.98,NORMINV(RAND(),$C$13,0.15)))</f>
        <v/>
      </c>
      <c r="I880" s="32">
        <f>MAX(0,NORMINV(RAND(),$C$14,0.033))</f>
        <v/>
      </c>
      <c r="J880" s="33">
        <f>($C$7*$C$8/365)*F880</f>
        <v/>
      </c>
      <c r="K880" s="33">
        <f>$C$7*G880*$C$12*H880</f>
        <v/>
      </c>
      <c r="L880" s="33">
        <f>$C$7*I880*$C$15</f>
        <v/>
      </c>
      <c r="M880" s="33">
        <f>J880-K880-L880</f>
        <v/>
      </c>
    </row>
    <row r="881">
      <c r="E881" s="20" t="n">
        <v>873</v>
      </c>
      <c r="F881" s="32">
        <f>MAX(0.03,MIN(0.18,NORMINV(RAND(),$C$9,$C$10)))</f>
        <v/>
      </c>
      <c r="G881" s="32">
        <f>MAX(0.02,MIN(0.9,NORMINV(RAND(),$C$11,0.10)))</f>
        <v/>
      </c>
      <c r="H881" s="32">
        <f>MAX(0.02,MIN(0.98,NORMINV(RAND(),$C$13,0.15)))</f>
        <v/>
      </c>
      <c r="I881" s="32">
        <f>MAX(0,NORMINV(RAND(),$C$14,0.033))</f>
        <v/>
      </c>
      <c r="J881" s="33">
        <f>($C$7*$C$8/365)*F881</f>
        <v/>
      </c>
      <c r="K881" s="33">
        <f>$C$7*G881*$C$12*H881</f>
        <v/>
      </c>
      <c r="L881" s="33">
        <f>$C$7*I881*$C$15</f>
        <v/>
      </c>
      <c r="M881" s="33">
        <f>J881-K881-L881</f>
        <v/>
      </c>
    </row>
    <row r="882">
      <c r="E882" s="20" t="n">
        <v>874</v>
      </c>
      <c r="F882" s="32">
        <f>MAX(0.03,MIN(0.18,NORMINV(RAND(),$C$9,$C$10)))</f>
        <v/>
      </c>
      <c r="G882" s="32">
        <f>MAX(0.02,MIN(0.9,NORMINV(RAND(),$C$11,0.10)))</f>
        <v/>
      </c>
      <c r="H882" s="32">
        <f>MAX(0.02,MIN(0.98,NORMINV(RAND(),$C$13,0.15)))</f>
        <v/>
      </c>
      <c r="I882" s="32">
        <f>MAX(0,NORMINV(RAND(),$C$14,0.033))</f>
        <v/>
      </c>
      <c r="J882" s="33">
        <f>($C$7*$C$8/365)*F882</f>
        <v/>
      </c>
      <c r="K882" s="33">
        <f>$C$7*G882*$C$12*H882</f>
        <v/>
      </c>
      <c r="L882" s="33">
        <f>$C$7*I882*$C$15</f>
        <v/>
      </c>
      <c r="M882" s="33">
        <f>J882-K882-L882</f>
        <v/>
      </c>
    </row>
    <row r="883">
      <c r="E883" s="20" t="n">
        <v>875</v>
      </c>
      <c r="F883" s="32">
        <f>MAX(0.03,MIN(0.18,NORMINV(RAND(),$C$9,$C$10)))</f>
        <v/>
      </c>
      <c r="G883" s="32">
        <f>MAX(0.02,MIN(0.9,NORMINV(RAND(),$C$11,0.10)))</f>
        <v/>
      </c>
      <c r="H883" s="32">
        <f>MAX(0.02,MIN(0.98,NORMINV(RAND(),$C$13,0.15)))</f>
        <v/>
      </c>
      <c r="I883" s="32">
        <f>MAX(0,NORMINV(RAND(),$C$14,0.033))</f>
        <v/>
      </c>
      <c r="J883" s="33">
        <f>($C$7*$C$8/365)*F883</f>
        <v/>
      </c>
      <c r="K883" s="33">
        <f>$C$7*G883*$C$12*H883</f>
        <v/>
      </c>
      <c r="L883" s="33">
        <f>$C$7*I883*$C$15</f>
        <v/>
      </c>
      <c r="M883" s="33">
        <f>J883-K883-L883</f>
        <v/>
      </c>
    </row>
    <row r="884">
      <c r="E884" s="20" t="n">
        <v>876</v>
      </c>
      <c r="F884" s="32">
        <f>MAX(0.03,MIN(0.18,NORMINV(RAND(),$C$9,$C$10)))</f>
        <v/>
      </c>
      <c r="G884" s="32">
        <f>MAX(0.02,MIN(0.9,NORMINV(RAND(),$C$11,0.10)))</f>
        <v/>
      </c>
      <c r="H884" s="32">
        <f>MAX(0.02,MIN(0.98,NORMINV(RAND(),$C$13,0.15)))</f>
        <v/>
      </c>
      <c r="I884" s="32">
        <f>MAX(0,NORMINV(RAND(),$C$14,0.033))</f>
        <v/>
      </c>
      <c r="J884" s="33">
        <f>($C$7*$C$8/365)*F884</f>
        <v/>
      </c>
      <c r="K884" s="33">
        <f>$C$7*G884*$C$12*H884</f>
        <v/>
      </c>
      <c r="L884" s="33">
        <f>$C$7*I884*$C$15</f>
        <v/>
      </c>
      <c r="M884" s="33">
        <f>J884-K884-L884</f>
        <v/>
      </c>
    </row>
    <row r="885">
      <c r="E885" s="20" t="n">
        <v>877</v>
      </c>
      <c r="F885" s="32">
        <f>MAX(0.03,MIN(0.18,NORMINV(RAND(),$C$9,$C$10)))</f>
        <v/>
      </c>
      <c r="G885" s="32">
        <f>MAX(0.02,MIN(0.9,NORMINV(RAND(),$C$11,0.10)))</f>
        <v/>
      </c>
      <c r="H885" s="32">
        <f>MAX(0.02,MIN(0.98,NORMINV(RAND(),$C$13,0.15)))</f>
        <v/>
      </c>
      <c r="I885" s="32">
        <f>MAX(0,NORMINV(RAND(),$C$14,0.033))</f>
        <v/>
      </c>
      <c r="J885" s="33">
        <f>($C$7*$C$8/365)*F885</f>
        <v/>
      </c>
      <c r="K885" s="33">
        <f>$C$7*G885*$C$12*H885</f>
        <v/>
      </c>
      <c r="L885" s="33">
        <f>$C$7*I885*$C$15</f>
        <v/>
      </c>
      <c r="M885" s="33">
        <f>J885-K885-L885</f>
        <v/>
      </c>
    </row>
    <row r="886">
      <c r="E886" s="20" t="n">
        <v>878</v>
      </c>
      <c r="F886" s="32">
        <f>MAX(0.03,MIN(0.18,NORMINV(RAND(),$C$9,$C$10)))</f>
        <v/>
      </c>
      <c r="G886" s="32">
        <f>MAX(0.02,MIN(0.9,NORMINV(RAND(),$C$11,0.10)))</f>
        <v/>
      </c>
      <c r="H886" s="32">
        <f>MAX(0.02,MIN(0.98,NORMINV(RAND(),$C$13,0.15)))</f>
        <v/>
      </c>
      <c r="I886" s="32">
        <f>MAX(0,NORMINV(RAND(),$C$14,0.033))</f>
        <v/>
      </c>
      <c r="J886" s="33">
        <f>($C$7*$C$8/365)*F886</f>
        <v/>
      </c>
      <c r="K886" s="33">
        <f>$C$7*G886*$C$12*H886</f>
        <v/>
      </c>
      <c r="L886" s="33">
        <f>$C$7*I886*$C$15</f>
        <v/>
      </c>
      <c r="M886" s="33">
        <f>J886-K886-L886</f>
        <v/>
      </c>
    </row>
    <row r="887">
      <c r="E887" s="20" t="n">
        <v>879</v>
      </c>
      <c r="F887" s="32">
        <f>MAX(0.03,MIN(0.18,NORMINV(RAND(),$C$9,$C$10)))</f>
        <v/>
      </c>
      <c r="G887" s="32">
        <f>MAX(0.02,MIN(0.9,NORMINV(RAND(),$C$11,0.10)))</f>
        <v/>
      </c>
      <c r="H887" s="32">
        <f>MAX(0.02,MIN(0.98,NORMINV(RAND(),$C$13,0.15)))</f>
        <v/>
      </c>
      <c r="I887" s="32">
        <f>MAX(0,NORMINV(RAND(),$C$14,0.033))</f>
        <v/>
      </c>
      <c r="J887" s="33">
        <f>($C$7*$C$8/365)*F887</f>
        <v/>
      </c>
      <c r="K887" s="33">
        <f>$C$7*G887*$C$12*H887</f>
        <v/>
      </c>
      <c r="L887" s="33">
        <f>$C$7*I887*$C$15</f>
        <v/>
      </c>
      <c r="M887" s="33">
        <f>J887-K887-L887</f>
        <v/>
      </c>
    </row>
    <row r="888">
      <c r="E888" s="20" t="n">
        <v>880</v>
      </c>
      <c r="F888" s="32">
        <f>MAX(0.03,MIN(0.18,NORMINV(RAND(),$C$9,$C$10)))</f>
        <v/>
      </c>
      <c r="G888" s="32">
        <f>MAX(0.02,MIN(0.9,NORMINV(RAND(),$C$11,0.10)))</f>
        <v/>
      </c>
      <c r="H888" s="32">
        <f>MAX(0.02,MIN(0.98,NORMINV(RAND(),$C$13,0.15)))</f>
        <v/>
      </c>
      <c r="I888" s="32">
        <f>MAX(0,NORMINV(RAND(),$C$14,0.033))</f>
        <v/>
      </c>
      <c r="J888" s="33">
        <f>($C$7*$C$8/365)*F888</f>
        <v/>
      </c>
      <c r="K888" s="33">
        <f>$C$7*G888*$C$12*H888</f>
        <v/>
      </c>
      <c r="L888" s="33">
        <f>$C$7*I888*$C$15</f>
        <v/>
      </c>
      <c r="M888" s="33">
        <f>J888-K888-L888</f>
        <v/>
      </c>
    </row>
    <row r="889">
      <c r="E889" s="20" t="n">
        <v>881</v>
      </c>
      <c r="F889" s="32">
        <f>MAX(0.03,MIN(0.18,NORMINV(RAND(),$C$9,$C$10)))</f>
        <v/>
      </c>
      <c r="G889" s="32">
        <f>MAX(0.02,MIN(0.9,NORMINV(RAND(),$C$11,0.10)))</f>
        <v/>
      </c>
      <c r="H889" s="32">
        <f>MAX(0.02,MIN(0.98,NORMINV(RAND(),$C$13,0.15)))</f>
        <v/>
      </c>
      <c r="I889" s="32">
        <f>MAX(0,NORMINV(RAND(),$C$14,0.033))</f>
        <v/>
      </c>
      <c r="J889" s="33">
        <f>($C$7*$C$8/365)*F889</f>
        <v/>
      </c>
      <c r="K889" s="33">
        <f>$C$7*G889*$C$12*H889</f>
        <v/>
      </c>
      <c r="L889" s="33">
        <f>$C$7*I889*$C$15</f>
        <v/>
      </c>
      <c r="M889" s="33">
        <f>J889-K889-L889</f>
        <v/>
      </c>
    </row>
    <row r="890">
      <c r="E890" s="20" t="n">
        <v>882</v>
      </c>
      <c r="F890" s="32">
        <f>MAX(0.03,MIN(0.18,NORMINV(RAND(),$C$9,$C$10)))</f>
        <v/>
      </c>
      <c r="G890" s="32">
        <f>MAX(0.02,MIN(0.9,NORMINV(RAND(),$C$11,0.10)))</f>
        <v/>
      </c>
      <c r="H890" s="32">
        <f>MAX(0.02,MIN(0.98,NORMINV(RAND(),$C$13,0.15)))</f>
        <v/>
      </c>
      <c r="I890" s="32">
        <f>MAX(0,NORMINV(RAND(),$C$14,0.033))</f>
        <v/>
      </c>
      <c r="J890" s="33">
        <f>($C$7*$C$8/365)*F890</f>
        <v/>
      </c>
      <c r="K890" s="33">
        <f>$C$7*G890*$C$12*H890</f>
        <v/>
      </c>
      <c r="L890" s="33">
        <f>$C$7*I890*$C$15</f>
        <v/>
      </c>
      <c r="M890" s="33">
        <f>J890-K890-L890</f>
        <v/>
      </c>
    </row>
    <row r="891">
      <c r="E891" s="20" t="n">
        <v>883</v>
      </c>
      <c r="F891" s="32">
        <f>MAX(0.03,MIN(0.18,NORMINV(RAND(),$C$9,$C$10)))</f>
        <v/>
      </c>
      <c r="G891" s="32">
        <f>MAX(0.02,MIN(0.9,NORMINV(RAND(),$C$11,0.10)))</f>
        <v/>
      </c>
      <c r="H891" s="32">
        <f>MAX(0.02,MIN(0.98,NORMINV(RAND(),$C$13,0.15)))</f>
        <v/>
      </c>
      <c r="I891" s="32">
        <f>MAX(0,NORMINV(RAND(),$C$14,0.033))</f>
        <v/>
      </c>
      <c r="J891" s="33">
        <f>($C$7*$C$8/365)*F891</f>
        <v/>
      </c>
      <c r="K891" s="33">
        <f>$C$7*G891*$C$12*H891</f>
        <v/>
      </c>
      <c r="L891" s="33">
        <f>$C$7*I891*$C$15</f>
        <v/>
      </c>
      <c r="M891" s="33">
        <f>J891-K891-L891</f>
        <v/>
      </c>
    </row>
    <row r="892">
      <c r="E892" s="20" t="n">
        <v>884</v>
      </c>
      <c r="F892" s="32">
        <f>MAX(0.03,MIN(0.18,NORMINV(RAND(),$C$9,$C$10)))</f>
        <v/>
      </c>
      <c r="G892" s="32">
        <f>MAX(0.02,MIN(0.9,NORMINV(RAND(),$C$11,0.10)))</f>
        <v/>
      </c>
      <c r="H892" s="32">
        <f>MAX(0.02,MIN(0.98,NORMINV(RAND(),$C$13,0.15)))</f>
        <v/>
      </c>
      <c r="I892" s="32">
        <f>MAX(0,NORMINV(RAND(),$C$14,0.033))</f>
        <v/>
      </c>
      <c r="J892" s="33">
        <f>($C$7*$C$8/365)*F892</f>
        <v/>
      </c>
      <c r="K892" s="33">
        <f>$C$7*G892*$C$12*H892</f>
        <v/>
      </c>
      <c r="L892" s="33">
        <f>$C$7*I892*$C$15</f>
        <v/>
      </c>
      <c r="M892" s="33">
        <f>J892-K892-L892</f>
        <v/>
      </c>
    </row>
    <row r="893">
      <c r="E893" s="20" t="n">
        <v>885</v>
      </c>
      <c r="F893" s="32">
        <f>MAX(0.03,MIN(0.18,NORMINV(RAND(),$C$9,$C$10)))</f>
        <v/>
      </c>
      <c r="G893" s="32">
        <f>MAX(0.02,MIN(0.9,NORMINV(RAND(),$C$11,0.10)))</f>
        <v/>
      </c>
      <c r="H893" s="32">
        <f>MAX(0.02,MIN(0.98,NORMINV(RAND(),$C$13,0.15)))</f>
        <v/>
      </c>
      <c r="I893" s="32">
        <f>MAX(0,NORMINV(RAND(),$C$14,0.033))</f>
        <v/>
      </c>
      <c r="J893" s="33">
        <f>($C$7*$C$8/365)*F893</f>
        <v/>
      </c>
      <c r="K893" s="33">
        <f>$C$7*G893*$C$12*H893</f>
        <v/>
      </c>
      <c r="L893" s="33">
        <f>$C$7*I893*$C$15</f>
        <v/>
      </c>
      <c r="M893" s="33">
        <f>J893-K893-L893</f>
        <v/>
      </c>
    </row>
    <row r="894">
      <c r="E894" s="20" t="n">
        <v>886</v>
      </c>
      <c r="F894" s="32">
        <f>MAX(0.03,MIN(0.18,NORMINV(RAND(),$C$9,$C$10)))</f>
        <v/>
      </c>
      <c r="G894" s="32">
        <f>MAX(0.02,MIN(0.9,NORMINV(RAND(),$C$11,0.10)))</f>
        <v/>
      </c>
      <c r="H894" s="32">
        <f>MAX(0.02,MIN(0.98,NORMINV(RAND(),$C$13,0.15)))</f>
        <v/>
      </c>
      <c r="I894" s="32">
        <f>MAX(0,NORMINV(RAND(),$C$14,0.033))</f>
        <v/>
      </c>
      <c r="J894" s="33">
        <f>($C$7*$C$8/365)*F894</f>
        <v/>
      </c>
      <c r="K894" s="33">
        <f>$C$7*G894*$C$12*H894</f>
        <v/>
      </c>
      <c r="L894" s="33">
        <f>$C$7*I894*$C$15</f>
        <v/>
      </c>
      <c r="M894" s="33">
        <f>J894-K894-L894</f>
        <v/>
      </c>
    </row>
    <row r="895">
      <c r="E895" s="20" t="n">
        <v>887</v>
      </c>
      <c r="F895" s="32">
        <f>MAX(0.03,MIN(0.18,NORMINV(RAND(),$C$9,$C$10)))</f>
        <v/>
      </c>
      <c r="G895" s="32">
        <f>MAX(0.02,MIN(0.9,NORMINV(RAND(),$C$11,0.10)))</f>
        <v/>
      </c>
      <c r="H895" s="32">
        <f>MAX(0.02,MIN(0.98,NORMINV(RAND(),$C$13,0.15)))</f>
        <v/>
      </c>
      <c r="I895" s="32">
        <f>MAX(0,NORMINV(RAND(),$C$14,0.033))</f>
        <v/>
      </c>
      <c r="J895" s="33">
        <f>($C$7*$C$8/365)*F895</f>
        <v/>
      </c>
      <c r="K895" s="33">
        <f>$C$7*G895*$C$12*H895</f>
        <v/>
      </c>
      <c r="L895" s="33">
        <f>$C$7*I895*$C$15</f>
        <v/>
      </c>
      <c r="M895" s="33">
        <f>J895-K895-L895</f>
        <v/>
      </c>
    </row>
    <row r="896">
      <c r="E896" s="20" t="n">
        <v>888</v>
      </c>
      <c r="F896" s="32">
        <f>MAX(0.03,MIN(0.18,NORMINV(RAND(),$C$9,$C$10)))</f>
        <v/>
      </c>
      <c r="G896" s="32">
        <f>MAX(0.02,MIN(0.9,NORMINV(RAND(),$C$11,0.10)))</f>
        <v/>
      </c>
      <c r="H896" s="32">
        <f>MAX(0.02,MIN(0.98,NORMINV(RAND(),$C$13,0.15)))</f>
        <v/>
      </c>
      <c r="I896" s="32">
        <f>MAX(0,NORMINV(RAND(),$C$14,0.033))</f>
        <v/>
      </c>
      <c r="J896" s="33">
        <f>($C$7*$C$8/365)*F896</f>
        <v/>
      </c>
      <c r="K896" s="33">
        <f>$C$7*G896*$C$12*H896</f>
        <v/>
      </c>
      <c r="L896" s="33">
        <f>$C$7*I896*$C$15</f>
        <v/>
      </c>
      <c r="M896" s="33">
        <f>J896-K896-L896</f>
        <v/>
      </c>
    </row>
    <row r="897">
      <c r="E897" s="20" t="n">
        <v>889</v>
      </c>
      <c r="F897" s="32">
        <f>MAX(0.03,MIN(0.18,NORMINV(RAND(),$C$9,$C$10)))</f>
        <v/>
      </c>
      <c r="G897" s="32">
        <f>MAX(0.02,MIN(0.9,NORMINV(RAND(),$C$11,0.10)))</f>
        <v/>
      </c>
      <c r="H897" s="32">
        <f>MAX(0.02,MIN(0.98,NORMINV(RAND(),$C$13,0.15)))</f>
        <v/>
      </c>
      <c r="I897" s="32">
        <f>MAX(0,NORMINV(RAND(),$C$14,0.033))</f>
        <v/>
      </c>
      <c r="J897" s="33">
        <f>($C$7*$C$8/365)*F897</f>
        <v/>
      </c>
      <c r="K897" s="33">
        <f>$C$7*G897*$C$12*H897</f>
        <v/>
      </c>
      <c r="L897" s="33">
        <f>$C$7*I897*$C$15</f>
        <v/>
      </c>
      <c r="M897" s="33">
        <f>J897-K897-L897</f>
        <v/>
      </c>
    </row>
    <row r="898">
      <c r="E898" s="20" t="n">
        <v>890</v>
      </c>
      <c r="F898" s="32">
        <f>MAX(0.03,MIN(0.18,NORMINV(RAND(),$C$9,$C$10)))</f>
        <v/>
      </c>
      <c r="G898" s="32">
        <f>MAX(0.02,MIN(0.9,NORMINV(RAND(),$C$11,0.10)))</f>
        <v/>
      </c>
      <c r="H898" s="32">
        <f>MAX(0.02,MIN(0.98,NORMINV(RAND(),$C$13,0.15)))</f>
        <v/>
      </c>
      <c r="I898" s="32">
        <f>MAX(0,NORMINV(RAND(),$C$14,0.033))</f>
        <v/>
      </c>
      <c r="J898" s="33">
        <f>($C$7*$C$8/365)*F898</f>
        <v/>
      </c>
      <c r="K898" s="33">
        <f>$C$7*G898*$C$12*H898</f>
        <v/>
      </c>
      <c r="L898" s="33">
        <f>$C$7*I898*$C$15</f>
        <v/>
      </c>
      <c r="M898" s="33">
        <f>J898-K898-L898</f>
        <v/>
      </c>
    </row>
    <row r="899">
      <c r="E899" s="20" t="n">
        <v>891</v>
      </c>
      <c r="F899" s="32">
        <f>MAX(0.03,MIN(0.18,NORMINV(RAND(),$C$9,$C$10)))</f>
        <v/>
      </c>
      <c r="G899" s="32">
        <f>MAX(0.02,MIN(0.9,NORMINV(RAND(),$C$11,0.10)))</f>
        <v/>
      </c>
      <c r="H899" s="32">
        <f>MAX(0.02,MIN(0.98,NORMINV(RAND(),$C$13,0.15)))</f>
        <v/>
      </c>
      <c r="I899" s="32">
        <f>MAX(0,NORMINV(RAND(),$C$14,0.033))</f>
        <v/>
      </c>
      <c r="J899" s="33">
        <f>($C$7*$C$8/365)*F899</f>
        <v/>
      </c>
      <c r="K899" s="33">
        <f>$C$7*G899*$C$12*H899</f>
        <v/>
      </c>
      <c r="L899" s="33">
        <f>$C$7*I899*$C$15</f>
        <v/>
      </c>
      <c r="M899" s="33">
        <f>J899-K899-L899</f>
        <v/>
      </c>
    </row>
    <row r="900">
      <c r="E900" s="20" t="n">
        <v>892</v>
      </c>
      <c r="F900" s="32">
        <f>MAX(0.03,MIN(0.18,NORMINV(RAND(),$C$9,$C$10)))</f>
        <v/>
      </c>
      <c r="G900" s="32">
        <f>MAX(0.02,MIN(0.9,NORMINV(RAND(),$C$11,0.10)))</f>
        <v/>
      </c>
      <c r="H900" s="32">
        <f>MAX(0.02,MIN(0.98,NORMINV(RAND(),$C$13,0.15)))</f>
        <v/>
      </c>
      <c r="I900" s="32">
        <f>MAX(0,NORMINV(RAND(),$C$14,0.033))</f>
        <v/>
      </c>
      <c r="J900" s="33">
        <f>($C$7*$C$8/365)*F900</f>
        <v/>
      </c>
      <c r="K900" s="33">
        <f>$C$7*G900*$C$12*H900</f>
        <v/>
      </c>
      <c r="L900" s="33">
        <f>$C$7*I900*$C$15</f>
        <v/>
      </c>
      <c r="M900" s="33">
        <f>J900-K900-L900</f>
        <v/>
      </c>
    </row>
    <row r="901">
      <c r="E901" s="20" t="n">
        <v>893</v>
      </c>
      <c r="F901" s="32">
        <f>MAX(0.03,MIN(0.18,NORMINV(RAND(),$C$9,$C$10)))</f>
        <v/>
      </c>
      <c r="G901" s="32">
        <f>MAX(0.02,MIN(0.9,NORMINV(RAND(),$C$11,0.10)))</f>
        <v/>
      </c>
      <c r="H901" s="32">
        <f>MAX(0.02,MIN(0.98,NORMINV(RAND(),$C$13,0.15)))</f>
        <v/>
      </c>
      <c r="I901" s="32">
        <f>MAX(0,NORMINV(RAND(),$C$14,0.033))</f>
        <v/>
      </c>
      <c r="J901" s="33">
        <f>($C$7*$C$8/365)*F901</f>
        <v/>
      </c>
      <c r="K901" s="33">
        <f>$C$7*G901*$C$12*H901</f>
        <v/>
      </c>
      <c r="L901" s="33">
        <f>$C$7*I901*$C$15</f>
        <v/>
      </c>
      <c r="M901" s="33">
        <f>J901-K901-L901</f>
        <v/>
      </c>
    </row>
    <row r="902">
      <c r="E902" s="20" t="n">
        <v>894</v>
      </c>
      <c r="F902" s="32">
        <f>MAX(0.03,MIN(0.18,NORMINV(RAND(),$C$9,$C$10)))</f>
        <v/>
      </c>
      <c r="G902" s="32">
        <f>MAX(0.02,MIN(0.9,NORMINV(RAND(),$C$11,0.10)))</f>
        <v/>
      </c>
      <c r="H902" s="32">
        <f>MAX(0.02,MIN(0.98,NORMINV(RAND(),$C$13,0.15)))</f>
        <v/>
      </c>
      <c r="I902" s="32">
        <f>MAX(0,NORMINV(RAND(),$C$14,0.033))</f>
        <v/>
      </c>
      <c r="J902" s="33">
        <f>($C$7*$C$8/365)*F902</f>
        <v/>
      </c>
      <c r="K902" s="33">
        <f>$C$7*G902*$C$12*H902</f>
        <v/>
      </c>
      <c r="L902" s="33">
        <f>$C$7*I902*$C$15</f>
        <v/>
      </c>
      <c r="M902" s="33">
        <f>J902-K902-L902</f>
        <v/>
      </c>
    </row>
    <row r="903">
      <c r="E903" s="20" t="n">
        <v>895</v>
      </c>
      <c r="F903" s="32">
        <f>MAX(0.03,MIN(0.18,NORMINV(RAND(),$C$9,$C$10)))</f>
        <v/>
      </c>
      <c r="G903" s="32">
        <f>MAX(0.02,MIN(0.9,NORMINV(RAND(),$C$11,0.10)))</f>
        <v/>
      </c>
      <c r="H903" s="32">
        <f>MAX(0.02,MIN(0.98,NORMINV(RAND(),$C$13,0.15)))</f>
        <v/>
      </c>
      <c r="I903" s="32">
        <f>MAX(0,NORMINV(RAND(),$C$14,0.033))</f>
        <v/>
      </c>
      <c r="J903" s="33">
        <f>($C$7*$C$8/365)*F903</f>
        <v/>
      </c>
      <c r="K903" s="33">
        <f>$C$7*G903*$C$12*H903</f>
        <v/>
      </c>
      <c r="L903" s="33">
        <f>$C$7*I903*$C$15</f>
        <v/>
      </c>
      <c r="M903" s="33">
        <f>J903-K903-L903</f>
        <v/>
      </c>
    </row>
    <row r="904">
      <c r="E904" s="20" t="n">
        <v>896</v>
      </c>
      <c r="F904" s="32">
        <f>MAX(0.03,MIN(0.18,NORMINV(RAND(),$C$9,$C$10)))</f>
        <v/>
      </c>
      <c r="G904" s="32">
        <f>MAX(0.02,MIN(0.9,NORMINV(RAND(),$C$11,0.10)))</f>
        <v/>
      </c>
      <c r="H904" s="32">
        <f>MAX(0.02,MIN(0.98,NORMINV(RAND(),$C$13,0.15)))</f>
        <v/>
      </c>
      <c r="I904" s="32">
        <f>MAX(0,NORMINV(RAND(),$C$14,0.033))</f>
        <v/>
      </c>
      <c r="J904" s="33">
        <f>($C$7*$C$8/365)*F904</f>
        <v/>
      </c>
      <c r="K904" s="33">
        <f>$C$7*G904*$C$12*H904</f>
        <v/>
      </c>
      <c r="L904" s="33">
        <f>$C$7*I904*$C$15</f>
        <v/>
      </c>
      <c r="M904" s="33">
        <f>J904-K904-L904</f>
        <v/>
      </c>
    </row>
    <row r="905">
      <c r="E905" s="20" t="n">
        <v>897</v>
      </c>
      <c r="F905" s="32">
        <f>MAX(0.03,MIN(0.18,NORMINV(RAND(),$C$9,$C$10)))</f>
        <v/>
      </c>
      <c r="G905" s="32">
        <f>MAX(0.02,MIN(0.9,NORMINV(RAND(),$C$11,0.10)))</f>
        <v/>
      </c>
      <c r="H905" s="32">
        <f>MAX(0.02,MIN(0.98,NORMINV(RAND(),$C$13,0.15)))</f>
        <v/>
      </c>
      <c r="I905" s="32">
        <f>MAX(0,NORMINV(RAND(),$C$14,0.033))</f>
        <v/>
      </c>
      <c r="J905" s="33">
        <f>($C$7*$C$8/365)*F905</f>
        <v/>
      </c>
      <c r="K905" s="33">
        <f>$C$7*G905*$C$12*H905</f>
        <v/>
      </c>
      <c r="L905" s="33">
        <f>$C$7*I905*$C$15</f>
        <v/>
      </c>
      <c r="M905" s="33">
        <f>J905-K905-L905</f>
        <v/>
      </c>
    </row>
    <row r="906">
      <c r="E906" s="20" t="n">
        <v>898</v>
      </c>
      <c r="F906" s="32">
        <f>MAX(0.03,MIN(0.18,NORMINV(RAND(),$C$9,$C$10)))</f>
        <v/>
      </c>
      <c r="G906" s="32">
        <f>MAX(0.02,MIN(0.9,NORMINV(RAND(),$C$11,0.10)))</f>
        <v/>
      </c>
      <c r="H906" s="32">
        <f>MAX(0.02,MIN(0.98,NORMINV(RAND(),$C$13,0.15)))</f>
        <v/>
      </c>
      <c r="I906" s="32">
        <f>MAX(0,NORMINV(RAND(),$C$14,0.033))</f>
        <v/>
      </c>
      <c r="J906" s="33">
        <f>($C$7*$C$8/365)*F906</f>
        <v/>
      </c>
      <c r="K906" s="33">
        <f>$C$7*G906*$C$12*H906</f>
        <v/>
      </c>
      <c r="L906" s="33">
        <f>$C$7*I906*$C$15</f>
        <v/>
      </c>
      <c r="M906" s="33">
        <f>J906-K906-L906</f>
        <v/>
      </c>
    </row>
    <row r="907">
      <c r="E907" s="20" t="n">
        <v>899</v>
      </c>
      <c r="F907" s="32">
        <f>MAX(0.03,MIN(0.18,NORMINV(RAND(),$C$9,$C$10)))</f>
        <v/>
      </c>
      <c r="G907" s="32">
        <f>MAX(0.02,MIN(0.9,NORMINV(RAND(),$C$11,0.10)))</f>
        <v/>
      </c>
      <c r="H907" s="32">
        <f>MAX(0.02,MIN(0.98,NORMINV(RAND(),$C$13,0.15)))</f>
        <v/>
      </c>
      <c r="I907" s="32">
        <f>MAX(0,NORMINV(RAND(),$C$14,0.033))</f>
        <v/>
      </c>
      <c r="J907" s="33">
        <f>($C$7*$C$8/365)*F907</f>
        <v/>
      </c>
      <c r="K907" s="33">
        <f>$C$7*G907*$C$12*H907</f>
        <v/>
      </c>
      <c r="L907" s="33">
        <f>$C$7*I907*$C$15</f>
        <v/>
      </c>
      <c r="M907" s="33">
        <f>J907-K907-L907</f>
        <v/>
      </c>
    </row>
    <row r="908">
      <c r="E908" s="20" t="n">
        <v>900</v>
      </c>
      <c r="F908" s="32">
        <f>MAX(0.03,MIN(0.18,NORMINV(RAND(),$C$9,$C$10)))</f>
        <v/>
      </c>
      <c r="G908" s="32">
        <f>MAX(0.02,MIN(0.9,NORMINV(RAND(),$C$11,0.10)))</f>
        <v/>
      </c>
      <c r="H908" s="32">
        <f>MAX(0.02,MIN(0.98,NORMINV(RAND(),$C$13,0.15)))</f>
        <v/>
      </c>
      <c r="I908" s="32">
        <f>MAX(0,NORMINV(RAND(),$C$14,0.033))</f>
        <v/>
      </c>
      <c r="J908" s="33">
        <f>($C$7*$C$8/365)*F908</f>
        <v/>
      </c>
      <c r="K908" s="33">
        <f>$C$7*G908*$C$12*H908</f>
        <v/>
      </c>
      <c r="L908" s="33">
        <f>$C$7*I908*$C$15</f>
        <v/>
      </c>
      <c r="M908" s="33">
        <f>J908-K908-L908</f>
        <v/>
      </c>
    </row>
    <row r="909">
      <c r="E909" s="20" t="n">
        <v>901</v>
      </c>
      <c r="F909" s="32">
        <f>MAX(0.03,MIN(0.18,NORMINV(RAND(),$C$9,$C$10)))</f>
        <v/>
      </c>
      <c r="G909" s="32">
        <f>MAX(0.02,MIN(0.9,NORMINV(RAND(),$C$11,0.10)))</f>
        <v/>
      </c>
      <c r="H909" s="32">
        <f>MAX(0.02,MIN(0.98,NORMINV(RAND(),$C$13,0.15)))</f>
        <v/>
      </c>
      <c r="I909" s="32">
        <f>MAX(0,NORMINV(RAND(),$C$14,0.033))</f>
        <v/>
      </c>
      <c r="J909" s="33">
        <f>($C$7*$C$8/365)*F909</f>
        <v/>
      </c>
      <c r="K909" s="33">
        <f>$C$7*G909*$C$12*H909</f>
        <v/>
      </c>
      <c r="L909" s="33">
        <f>$C$7*I909*$C$15</f>
        <v/>
      </c>
      <c r="M909" s="33">
        <f>J909-K909-L909</f>
        <v/>
      </c>
    </row>
    <row r="910">
      <c r="E910" s="20" t="n">
        <v>902</v>
      </c>
      <c r="F910" s="32">
        <f>MAX(0.03,MIN(0.18,NORMINV(RAND(),$C$9,$C$10)))</f>
        <v/>
      </c>
      <c r="G910" s="32">
        <f>MAX(0.02,MIN(0.9,NORMINV(RAND(),$C$11,0.10)))</f>
        <v/>
      </c>
      <c r="H910" s="32">
        <f>MAX(0.02,MIN(0.98,NORMINV(RAND(),$C$13,0.15)))</f>
        <v/>
      </c>
      <c r="I910" s="32">
        <f>MAX(0,NORMINV(RAND(),$C$14,0.033))</f>
        <v/>
      </c>
      <c r="J910" s="33">
        <f>($C$7*$C$8/365)*F910</f>
        <v/>
      </c>
      <c r="K910" s="33">
        <f>$C$7*G910*$C$12*H910</f>
        <v/>
      </c>
      <c r="L910" s="33">
        <f>$C$7*I910*$C$15</f>
        <v/>
      </c>
      <c r="M910" s="33">
        <f>J910-K910-L910</f>
        <v/>
      </c>
    </row>
    <row r="911">
      <c r="E911" s="20" t="n">
        <v>903</v>
      </c>
      <c r="F911" s="32">
        <f>MAX(0.03,MIN(0.18,NORMINV(RAND(),$C$9,$C$10)))</f>
        <v/>
      </c>
      <c r="G911" s="32">
        <f>MAX(0.02,MIN(0.9,NORMINV(RAND(),$C$11,0.10)))</f>
        <v/>
      </c>
      <c r="H911" s="32">
        <f>MAX(0.02,MIN(0.98,NORMINV(RAND(),$C$13,0.15)))</f>
        <v/>
      </c>
      <c r="I911" s="32">
        <f>MAX(0,NORMINV(RAND(),$C$14,0.033))</f>
        <v/>
      </c>
      <c r="J911" s="33">
        <f>($C$7*$C$8/365)*F911</f>
        <v/>
      </c>
      <c r="K911" s="33">
        <f>$C$7*G911*$C$12*H911</f>
        <v/>
      </c>
      <c r="L911" s="33">
        <f>$C$7*I911*$C$15</f>
        <v/>
      </c>
      <c r="M911" s="33">
        <f>J911-K911-L911</f>
        <v/>
      </c>
    </row>
    <row r="912">
      <c r="E912" s="20" t="n">
        <v>904</v>
      </c>
      <c r="F912" s="32">
        <f>MAX(0.03,MIN(0.18,NORMINV(RAND(),$C$9,$C$10)))</f>
        <v/>
      </c>
      <c r="G912" s="32">
        <f>MAX(0.02,MIN(0.9,NORMINV(RAND(),$C$11,0.10)))</f>
        <v/>
      </c>
      <c r="H912" s="32">
        <f>MAX(0.02,MIN(0.98,NORMINV(RAND(),$C$13,0.15)))</f>
        <v/>
      </c>
      <c r="I912" s="32">
        <f>MAX(0,NORMINV(RAND(),$C$14,0.033))</f>
        <v/>
      </c>
      <c r="J912" s="33">
        <f>($C$7*$C$8/365)*F912</f>
        <v/>
      </c>
      <c r="K912" s="33">
        <f>$C$7*G912*$C$12*H912</f>
        <v/>
      </c>
      <c r="L912" s="33">
        <f>$C$7*I912*$C$15</f>
        <v/>
      </c>
      <c r="M912" s="33">
        <f>J912-K912-L912</f>
        <v/>
      </c>
    </row>
    <row r="913">
      <c r="E913" s="20" t="n">
        <v>905</v>
      </c>
      <c r="F913" s="32">
        <f>MAX(0.03,MIN(0.18,NORMINV(RAND(),$C$9,$C$10)))</f>
        <v/>
      </c>
      <c r="G913" s="32">
        <f>MAX(0.02,MIN(0.9,NORMINV(RAND(),$C$11,0.10)))</f>
        <v/>
      </c>
      <c r="H913" s="32">
        <f>MAX(0.02,MIN(0.98,NORMINV(RAND(),$C$13,0.15)))</f>
        <v/>
      </c>
      <c r="I913" s="32">
        <f>MAX(0,NORMINV(RAND(),$C$14,0.033))</f>
        <v/>
      </c>
      <c r="J913" s="33">
        <f>($C$7*$C$8/365)*F913</f>
        <v/>
      </c>
      <c r="K913" s="33">
        <f>$C$7*G913*$C$12*H913</f>
        <v/>
      </c>
      <c r="L913" s="33">
        <f>$C$7*I913*$C$15</f>
        <v/>
      </c>
      <c r="M913" s="33">
        <f>J913-K913-L913</f>
        <v/>
      </c>
    </row>
    <row r="914">
      <c r="E914" s="20" t="n">
        <v>906</v>
      </c>
      <c r="F914" s="32">
        <f>MAX(0.03,MIN(0.18,NORMINV(RAND(),$C$9,$C$10)))</f>
        <v/>
      </c>
      <c r="G914" s="32">
        <f>MAX(0.02,MIN(0.9,NORMINV(RAND(),$C$11,0.10)))</f>
        <v/>
      </c>
      <c r="H914" s="32">
        <f>MAX(0.02,MIN(0.98,NORMINV(RAND(),$C$13,0.15)))</f>
        <v/>
      </c>
      <c r="I914" s="32">
        <f>MAX(0,NORMINV(RAND(),$C$14,0.033))</f>
        <v/>
      </c>
      <c r="J914" s="33">
        <f>($C$7*$C$8/365)*F914</f>
        <v/>
      </c>
      <c r="K914" s="33">
        <f>$C$7*G914*$C$12*H914</f>
        <v/>
      </c>
      <c r="L914" s="33">
        <f>$C$7*I914*$C$15</f>
        <v/>
      </c>
      <c r="M914" s="33">
        <f>J914-K914-L914</f>
        <v/>
      </c>
    </row>
    <row r="915">
      <c r="E915" s="20" t="n">
        <v>907</v>
      </c>
      <c r="F915" s="32">
        <f>MAX(0.03,MIN(0.18,NORMINV(RAND(),$C$9,$C$10)))</f>
        <v/>
      </c>
      <c r="G915" s="32">
        <f>MAX(0.02,MIN(0.9,NORMINV(RAND(),$C$11,0.10)))</f>
        <v/>
      </c>
      <c r="H915" s="32">
        <f>MAX(0.02,MIN(0.98,NORMINV(RAND(),$C$13,0.15)))</f>
        <v/>
      </c>
      <c r="I915" s="32">
        <f>MAX(0,NORMINV(RAND(),$C$14,0.033))</f>
        <v/>
      </c>
      <c r="J915" s="33">
        <f>($C$7*$C$8/365)*F915</f>
        <v/>
      </c>
      <c r="K915" s="33">
        <f>$C$7*G915*$C$12*H915</f>
        <v/>
      </c>
      <c r="L915" s="33">
        <f>$C$7*I915*$C$15</f>
        <v/>
      </c>
      <c r="M915" s="33">
        <f>J915-K915-L915</f>
        <v/>
      </c>
    </row>
    <row r="916">
      <c r="E916" s="20" t="n">
        <v>908</v>
      </c>
      <c r="F916" s="32">
        <f>MAX(0.03,MIN(0.18,NORMINV(RAND(),$C$9,$C$10)))</f>
        <v/>
      </c>
      <c r="G916" s="32">
        <f>MAX(0.02,MIN(0.9,NORMINV(RAND(),$C$11,0.10)))</f>
        <v/>
      </c>
      <c r="H916" s="32">
        <f>MAX(0.02,MIN(0.98,NORMINV(RAND(),$C$13,0.15)))</f>
        <v/>
      </c>
      <c r="I916" s="32">
        <f>MAX(0,NORMINV(RAND(),$C$14,0.033))</f>
        <v/>
      </c>
      <c r="J916" s="33">
        <f>($C$7*$C$8/365)*F916</f>
        <v/>
      </c>
      <c r="K916" s="33">
        <f>$C$7*G916*$C$12*H916</f>
        <v/>
      </c>
      <c r="L916" s="33">
        <f>$C$7*I916*$C$15</f>
        <v/>
      </c>
      <c r="M916" s="33">
        <f>J916-K916-L916</f>
        <v/>
      </c>
    </row>
    <row r="917">
      <c r="E917" s="20" t="n">
        <v>909</v>
      </c>
      <c r="F917" s="32">
        <f>MAX(0.03,MIN(0.18,NORMINV(RAND(),$C$9,$C$10)))</f>
        <v/>
      </c>
      <c r="G917" s="32">
        <f>MAX(0.02,MIN(0.9,NORMINV(RAND(),$C$11,0.10)))</f>
        <v/>
      </c>
      <c r="H917" s="32">
        <f>MAX(0.02,MIN(0.98,NORMINV(RAND(),$C$13,0.15)))</f>
        <v/>
      </c>
      <c r="I917" s="32">
        <f>MAX(0,NORMINV(RAND(),$C$14,0.033))</f>
        <v/>
      </c>
      <c r="J917" s="33">
        <f>($C$7*$C$8/365)*F917</f>
        <v/>
      </c>
      <c r="K917" s="33">
        <f>$C$7*G917*$C$12*H917</f>
        <v/>
      </c>
      <c r="L917" s="33">
        <f>$C$7*I917*$C$15</f>
        <v/>
      </c>
      <c r="M917" s="33">
        <f>J917-K917-L917</f>
        <v/>
      </c>
    </row>
    <row r="918">
      <c r="E918" s="20" t="n">
        <v>910</v>
      </c>
      <c r="F918" s="32">
        <f>MAX(0.03,MIN(0.18,NORMINV(RAND(),$C$9,$C$10)))</f>
        <v/>
      </c>
      <c r="G918" s="32">
        <f>MAX(0.02,MIN(0.9,NORMINV(RAND(),$C$11,0.10)))</f>
        <v/>
      </c>
      <c r="H918" s="32">
        <f>MAX(0.02,MIN(0.98,NORMINV(RAND(),$C$13,0.15)))</f>
        <v/>
      </c>
      <c r="I918" s="32">
        <f>MAX(0,NORMINV(RAND(),$C$14,0.033))</f>
        <v/>
      </c>
      <c r="J918" s="33">
        <f>($C$7*$C$8/365)*F918</f>
        <v/>
      </c>
      <c r="K918" s="33">
        <f>$C$7*G918*$C$12*H918</f>
        <v/>
      </c>
      <c r="L918" s="33">
        <f>$C$7*I918*$C$15</f>
        <v/>
      </c>
      <c r="M918" s="33">
        <f>J918-K918-L918</f>
        <v/>
      </c>
    </row>
    <row r="919">
      <c r="E919" s="20" t="n">
        <v>911</v>
      </c>
      <c r="F919" s="32">
        <f>MAX(0.03,MIN(0.18,NORMINV(RAND(),$C$9,$C$10)))</f>
        <v/>
      </c>
      <c r="G919" s="32">
        <f>MAX(0.02,MIN(0.9,NORMINV(RAND(),$C$11,0.10)))</f>
        <v/>
      </c>
      <c r="H919" s="32">
        <f>MAX(0.02,MIN(0.98,NORMINV(RAND(),$C$13,0.15)))</f>
        <v/>
      </c>
      <c r="I919" s="32">
        <f>MAX(0,NORMINV(RAND(),$C$14,0.033))</f>
        <v/>
      </c>
      <c r="J919" s="33">
        <f>($C$7*$C$8/365)*F919</f>
        <v/>
      </c>
      <c r="K919" s="33">
        <f>$C$7*G919*$C$12*H919</f>
        <v/>
      </c>
      <c r="L919" s="33">
        <f>$C$7*I919*$C$15</f>
        <v/>
      </c>
      <c r="M919" s="33">
        <f>J919-K919-L919</f>
        <v/>
      </c>
    </row>
    <row r="920">
      <c r="E920" s="20" t="n">
        <v>912</v>
      </c>
      <c r="F920" s="32">
        <f>MAX(0.03,MIN(0.18,NORMINV(RAND(),$C$9,$C$10)))</f>
        <v/>
      </c>
      <c r="G920" s="32">
        <f>MAX(0.02,MIN(0.9,NORMINV(RAND(),$C$11,0.10)))</f>
        <v/>
      </c>
      <c r="H920" s="32">
        <f>MAX(0.02,MIN(0.98,NORMINV(RAND(),$C$13,0.15)))</f>
        <v/>
      </c>
      <c r="I920" s="32">
        <f>MAX(0,NORMINV(RAND(),$C$14,0.033))</f>
        <v/>
      </c>
      <c r="J920" s="33">
        <f>($C$7*$C$8/365)*F920</f>
        <v/>
      </c>
      <c r="K920" s="33">
        <f>$C$7*G920*$C$12*H920</f>
        <v/>
      </c>
      <c r="L920" s="33">
        <f>$C$7*I920*$C$15</f>
        <v/>
      </c>
      <c r="M920" s="33">
        <f>J920-K920-L920</f>
        <v/>
      </c>
    </row>
    <row r="921">
      <c r="E921" s="20" t="n">
        <v>913</v>
      </c>
      <c r="F921" s="32">
        <f>MAX(0.03,MIN(0.18,NORMINV(RAND(),$C$9,$C$10)))</f>
        <v/>
      </c>
      <c r="G921" s="32">
        <f>MAX(0.02,MIN(0.9,NORMINV(RAND(),$C$11,0.10)))</f>
        <v/>
      </c>
      <c r="H921" s="32">
        <f>MAX(0.02,MIN(0.98,NORMINV(RAND(),$C$13,0.15)))</f>
        <v/>
      </c>
      <c r="I921" s="32">
        <f>MAX(0,NORMINV(RAND(),$C$14,0.033))</f>
        <v/>
      </c>
      <c r="J921" s="33">
        <f>($C$7*$C$8/365)*F921</f>
        <v/>
      </c>
      <c r="K921" s="33">
        <f>$C$7*G921*$C$12*H921</f>
        <v/>
      </c>
      <c r="L921" s="33">
        <f>$C$7*I921*$C$15</f>
        <v/>
      </c>
      <c r="M921" s="33">
        <f>J921-K921-L921</f>
        <v/>
      </c>
    </row>
    <row r="922">
      <c r="E922" s="20" t="n">
        <v>914</v>
      </c>
      <c r="F922" s="32">
        <f>MAX(0.03,MIN(0.18,NORMINV(RAND(),$C$9,$C$10)))</f>
        <v/>
      </c>
      <c r="G922" s="32">
        <f>MAX(0.02,MIN(0.9,NORMINV(RAND(),$C$11,0.10)))</f>
        <v/>
      </c>
      <c r="H922" s="32">
        <f>MAX(0.02,MIN(0.98,NORMINV(RAND(),$C$13,0.15)))</f>
        <v/>
      </c>
      <c r="I922" s="32">
        <f>MAX(0,NORMINV(RAND(),$C$14,0.033))</f>
        <v/>
      </c>
      <c r="J922" s="33">
        <f>($C$7*$C$8/365)*F922</f>
        <v/>
      </c>
      <c r="K922" s="33">
        <f>$C$7*G922*$C$12*H922</f>
        <v/>
      </c>
      <c r="L922" s="33">
        <f>$C$7*I922*$C$15</f>
        <v/>
      </c>
      <c r="M922" s="33">
        <f>J922-K922-L922</f>
        <v/>
      </c>
    </row>
    <row r="923">
      <c r="E923" s="20" t="n">
        <v>915</v>
      </c>
      <c r="F923" s="32">
        <f>MAX(0.03,MIN(0.18,NORMINV(RAND(),$C$9,$C$10)))</f>
        <v/>
      </c>
      <c r="G923" s="32">
        <f>MAX(0.02,MIN(0.9,NORMINV(RAND(),$C$11,0.10)))</f>
        <v/>
      </c>
      <c r="H923" s="32">
        <f>MAX(0.02,MIN(0.98,NORMINV(RAND(),$C$13,0.15)))</f>
        <v/>
      </c>
      <c r="I923" s="32">
        <f>MAX(0,NORMINV(RAND(),$C$14,0.033))</f>
        <v/>
      </c>
      <c r="J923" s="33">
        <f>($C$7*$C$8/365)*F923</f>
        <v/>
      </c>
      <c r="K923" s="33">
        <f>$C$7*G923*$C$12*H923</f>
        <v/>
      </c>
      <c r="L923" s="33">
        <f>$C$7*I923*$C$15</f>
        <v/>
      </c>
      <c r="M923" s="33">
        <f>J923-K923-L923</f>
        <v/>
      </c>
    </row>
    <row r="924">
      <c r="E924" s="20" t="n">
        <v>916</v>
      </c>
      <c r="F924" s="32">
        <f>MAX(0.03,MIN(0.18,NORMINV(RAND(),$C$9,$C$10)))</f>
        <v/>
      </c>
      <c r="G924" s="32">
        <f>MAX(0.02,MIN(0.9,NORMINV(RAND(),$C$11,0.10)))</f>
        <v/>
      </c>
      <c r="H924" s="32">
        <f>MAX(0.02,MIN(0.98,NORMINV(RAND(),$C$13,0.15)))</f>
        <v/>
      </c>
      <c r="I924" s="32">
        <f>MAX(0,NORMINV(RAND(),$C$14,0.033))</f>
        <v/>
      </c>
      <c r="J924" s="33">
        <f>($C$7*$C$8/365)*F924</f>
        <v/>
      </c>
      <c r="K924" s="33">
        <f>$C$7*G924*$C$12*H924</f>
        <v/>
      </c>
      <c r="L924" s="33">
        <f>$C$7*I924*$C$15</f>
        <v/>
      </c>
      <c r="M924" s="33">
        <f>J924-K924-L924</f>
        <v/>
      </c>
    </row>
    <row r="925">
      <c r="E925" s="20" t="n">
        <v>917</v>
      </c>
      <c r="F925" s="32">
        <f>MAX(0.03,MIN(0.18,NORMINV(RAND(),$C$9,$C$10)))</f>
        <v/>
      </c>
      <c r="G925" s="32">
        <f>MAX(0.02,MIN(0.9,NORMINV(RAND(),$C$11,0.10)))</f>
        <v/>
      </c>
      <c r="H925" s="32">
        <f>MAX(0.02,MIN(0.98,NORMINV(RAND(),$C$13,0.15)))</f>
        <v/>
      </c>
      <c r="I925" s="32">
        <f>MAX(0,NORMINV(RAND(),$C$14,0.033))</f>
        <v/>
      </c>
      <c r="J925" s="33">
        <f>($C$7*$C$8/365)*F925</f>
        <v/>
      </c>
      <c r="K925" s="33">
        <f>$C$7*G925*$C$12*H925</f>
        <v/>
      </c>
      <c r="L925" s="33">
        <f>$C$7*I925*$C$15</f>
        <v/>
      </c>
      <c r="M925" s="33">
        <f>J925-K925-L925</f>
        <v/>
      </c>
    </row>
    <row r="926">
      <c r="E926" s="20" t="n">
        <v>918</v>
      </c>
      <c r="F926" s="32">
        <f>MAX(0.03,MIN(0.18,NORMINV(RAND(),$C$9,$C$10)))</f>
        <v/>
      </c>
      <c r="G926" s="32">
        <f>MAX(0.02,MIN(0.9,NORMINV(RAND(),$C$11,0.10)))</f>
        <v/>
      </c>
      <c r="H926" s="32">
        <f>MAX(0.02,MIN(0.98,NORMINV(RAND(),$C$13,0.15)))</f>
        <v/>
      </c>
      <c r="I926" s="32">
        <f>MAX(0,NORMINV(RAND(),$C$14,0.033))</f>
        <v/>
      </c>
      <c r="J926" s="33">
        <f>($C$7*$C$8/365)*F926</f>
        <v/>
      </c>
      <c r="K926" s="33">
        <f>$C$7*G926*$C$12*H926</f>
        <v/>
      </c>
      <c r="L926" s="33">
        <f>$C$7*I926*$C$15</f>
        <v/>
      </c>
      <c r="M926" s="33">
        <f>J926-K926-L926</f>
        <v/>
      </c>
    </row>
    <row r="927">
      <c r="E927" s="20" t="n">
        <v>919</v>
      </c>
      <c r="F927" s="32">
        <f>MAX(0.03,MIN(0.18,NORMINV(RAND(),$C$9,$C$10)))</f>
        <v/>
      </c>
      <c r="G927" s="32">
        <f>MAX(0.02,MIN(0.9,NORMINV(RAND(),$C$11,0.10)))</f>
        <v/>
      </c>
      <c r="H927" s="32">
        <f>MAX(0.02,MIN(0.98,NORMINV(RAND(),$C$13,0.15)))</f>
        <v/>
      </c>
      <c r="I927" s="32">
        <f>MAX(0,NORMINV(RAND(),$C$14,0.033))</f>
        <v/>
      </c>
      <c r="J927" s="33">
        <f>($C$7*$C$8/365)*F927</f>
        <v/>
      </c>
      <c r="K927" s="33">
        <f>$C$7*G927*$C$12*H927</f>
        <v/>
      </c>
      <c r="L927" s="33">
        <f>$C$7*I927*$C$15</f>
        <v/>
      </c>
      <c r="M927" s="33">
        <f>J927-K927-L927</f>
        <v/>
      </c>
    </row>
    <row r="928">
      <c r="E928" s="20" t="n">
        <v>920</v>
      </c>
      <c r="F928" s="32">
        <f>MAX(0.03,MIN(0.18,NORMINV(RAND(),$C$9,$C$10)))</f>
        <v/>
      </c>
      <c r="G928" s="32">
        <f>MAX(0.02,MIN(0.9,NORMINV(RAND(),$C$11,0.10)))</f>
        <v/>
      </c>
      <c r="H928" s="32">
        <f>MAX(0.02,MIN(0.98,NORMINV(RAND(),$C$13,0.15)))</f>
        <v/>
      </c>
      <c r="I928" s="32">
        <f>MAX(0,NORMINV(RAND(),$C$14,0.033))</f>
        <v/>
      </c>
      <c r="J928" s="33">
        <f>($C$7*$C$8/365)*F928</f>
        <v/>
      </c>
      <c r="K928" s="33">
        <f>$C$7*G928*$C$12*H928</f>
        <v/>
      </c>
      <c r="L928" s="33">
        <f>$C$7*I928*$C$15</f>
        <v/>
      </c>
      <c r="M928" s="33">
        <f>J928-K928-L928</f>
        <v/>
      </c>
    </row>
    <row r="929">
      <c r="E929" s="20" t="n">
        <v>921</v>
      </c>
      <c r="F929" s="32">
        <f>MAX(0.03,MIN(0.18,NORMINV(RAND(),$C$9,$C$10)))</f>
        <v/>
      </c>
      <c r="G929" s="32">
        <f>MAX(0.02,MIN(0.9,NORMINV(RAND(),$C$11,0.10)))</f>
        <v/>
      </c>
      <c r="H929" s="32">
        <f>MAX(0.02,MIN(0.98,NORMINV(RAND(),$C$13,0.15)))</f>
        <v/>
      </c>
      <c r="I929" s="32">
        <f>MAX(0,NORMINV(RAND(),$C$14,0.033))</f>
        <v/>
      </c>
      <c r="J929" s="33">
        <f>($C$7*$C$8/365)*F929</f>
        <v/>
      </c>
      <c r="K929" s="33">
        <f>$C$7*G929*$C$12*H929</f>
        <v/>
      </c>
      <c r="L929" s="33">
        <f>$C$7*I929*$C$15</f>
        <v/>
      </c>
      <c r="M929" s="33">
        <f>J929-K929-L929</f>
        <v/>
      </c>
    </row>
    <row r="930">
      <c r="E930" s="20" t="n">
        <v>922</v>
      </c>
      <c r="F930" s="32">
        <f>MAX(0.03,MIN(0.18,NORMINV(RAND(),$C$9,$C$10)))</f>
        <v/>
      </c>
      <c r="G930" s="32">
        <f>MAX(0.02,MIN(0.9,NORMINV(RAND(),$C$11,0.10)))</f>
        <v/>
      </c>
      <c r="H930" s="32">
        <f>MAX(0.02,MIN(0.98,NORMINV(RAND(),$C$13,0.15)))</f>
        <v/>
      </c>
      <c r="I930" s="32">
        <f>MAX(0,NORMINV(RAND(),$C$14,0.033))</f>
        <v/>
      </c>
      <c r="J930" s="33">
        <f>($C$7*$C$8/365)*F930</f>
        <v/>
      </c>
      <c r="K930" s="33">
        <f>$C$7*G930*$C$12*H930</f>
        <v/>
      </c>
      <c r="L930" s="33">
        <f>$C$7*I930*$C$15</f>
        <v/>
      </c>
      <c r="M930" s="33">
        <f>J930-K930-L930</f>
        <v/>
      </c>
    </row>
    <row r="931">
      <c r="E931" s="20" t="n">
        <v>923</v>
      </c>
      <c r="F931" s="32">
        <f>MAX(0.03,MIN(0.18,NORMINV(RAND(),$C$9,$C$10)))</f>
        <v/>
      </c>
      <c r="G931" s="32">
        <f>MAX(0.02,MIN(0.9,NORMINV(RAND(),$C$11,0.10)))</f>
        <v/>
      </c>
      <c r="H931" s="32">
        <f>MAX(0.02,MIN(0.98,NORMINV(RAND(),$C$13,0.15)))</f>
        <v/>
      </c>
      <c r="I931" s="32">
        <f>MAX(0,NORMINV(RAND(),$C$14,0.033))</f>
        <v/>
      </c>
      <c r="J931" s="33">
        <f>($C$7*$C$8/365)*F931</f>
        <v/>
      </c>
      <c r="K931" s="33">
        <f>$C$7*G931*$C$12*H931</f>
        <v/>
      </c>
      <c r="L931" s="33">
        <f>$C$7*I931*$C$15</f>
        <v/>
      </c>
      <c r="M931" s="33">
        <f>J931-K931-L931</f>
        <v/>
      </c>
    </row>
    <row r="932">
      <c r="E932" s="20" t="n">
        <v>924</v>
      </c>
      <c r="F932" s="32">
        <f>MAX(0.03,MIN(0.18,NORMINV(RAND(),$C$9,$C$10)))</f>
        <v/>
      </c>
      <c r="G932" s="32">
        <f>MAX(0.02,MIN(0.9,NORMINV(RAND(),$C$11,0.10)))</f>
        <v/>
      </c>
      <c r="H932" s="32">
        <f>MAX(0.02,MIN(0.98,NORMINV(RAND(),$C$13,0.15)))</f>
        <v/>
      </c>
      <c r="I932" s="32">
        <f>MAX(0,NORMINV(RAND(),$C$14,0.033))</f>
        <v/>
      </c>
      <c r="J932" s="33">
        <f>($C$7*$C$8/365)*F932</f>
        <v/>
      </c>
      <c r="K932" s="33">
        <f>$C$7*G932*$C$12*H932</f>
        <v/>
      </c>
      <c r="L932" s="33">
        <f>$C$7*I932*$C$15</f>
        <v/>
      </c>
      <c r="M932" s="33">
        <f>J932-K932-L932</f>
        <v/>
      </c>
    </row>
    <row r="933">
      <c r="E933" s="20" t="n">
        <v>925</v>
      </c>
      <c r="F933" s="32">
        <f>MAX(0.03,MIN(0.18,NORMINV(RAND(),$C$9,$C$10)))</f>
        <v/>
      </c>
      <c r="G933" s="32">
        <f>MAX(0.02,MIN(0.9,NORMINV(RAND(),$C$11,0.10)))</f>
        <v/>
      </c>
      <c r="H933" s="32">
        <f>MAX(0.02,MIN(0.98,NORMINV(RAND(),$C$13,0.15)))</f>
        <v/>
      </c>
      <c r="I933" s="32">
        <f>MAX(0,NORMINV(RAND(),$C$14,0.033))</f>
        <v/>
      </c>
      <c r="J933" s="33">
        <f>($C$7*$C$8/365)*F933</f>
        <v/>
      </c>
      <c r="K933" s="33">
        <f>$C$7*G933*$C$12*H933</f>
        <v/>
      </c>
      <c r="L933" s="33">
        <f>$C$7*I933*$C$15</f>
        <v/>
      </c>
      <c r="M933" s="33">
        <f>J933-K933-L933</f>
        <v/>
      </c>
    </row>
    <row r="934">
      <c r="E934" s="20" t="n">
        <v>926</v>
      </c>
      <c r="F934" s="32">
        <f>MAX(0.03,MIN(0.18,NORMINV(RAND(),$C$9,$C$10)))</f>
        <v/>
      </c>
      <c r="G934" s="32">
        <f>MAX(0.02,MIN(0.9,NORMINV(RAND(),$C$11,0.10)))</f>
        <v/>
      </c>
      <c r="H934" s="32">
        <f>MAX(0.02,MIN(0.98,NORMINV(RAND(),$C$13,0.15)))</f>
        <v/>
      </c>
      <c r="I934" s="32">
        <f>MAX(0,NORMINV(RAND(),$C$14,0.033))</f>
        <v/>
      </c>
      <c r="J934" s="33">
        <f>($C$7*$C$8/365)*F934</f>
        <v/>
      </c>
      <c r="K934" s="33">
        <f>$C$7*G934*$C$12*H934</f>
        <v/>
      </c>
      <c r="L934" s="33">
        <f>$C$7*I934*$C$15</f>
        <v/>
      </c>
      <c r="M934" s="33">
        <f>J934-K934-L934</f>
        <v/>
      </c>
    </row>
    <row r="935">
      <c r="E935" s="20" t="n">
        <v>927</v>
      </c>
      <c r="F935" s="32">
        <f>MAX(0.03,MIN(0.18,NORMINV(RAND(),$C$9,$C$10)))</f>
        <v/>
      </c>
      <c r="G935" s="32">
        <f>MAX(0.02,MIN(0.9,NORMINV(RAND(),$C$11,0.10)))</f>
        <v/>
      </c>
      <c r="H935" s="32">
        <f>MAX(0.02,MIN(0.98,NORMINV(RAND(),$C$13,0.15)))</f>
        <v/>
      </c>
      <c r="I935" s="32">
        <f>MAX(0,NORMINV(RAND(),$C$14,0.033))</f>
        <v/>
      </c>
      <c r="J935" s="33">
        <f>($C$7*$C$8/365)*F935</f>
        <v/>
      </c>
      <c r="K935" s="33">
        <f>$C$7*G935*$C$12*H935</f>
        <v/>
      </c>
      <c r="L935" s="33">
        <f>$C$7*I935*$C$15</f>
        <v/>
      </c>
      <c r="M935" s="33">
        <f>J935-K935-L935</f>
        <v/>
      </c>
    </row>
    <row r="936">
      <c r="E936" s="20" t="n">
        <v>928</v>
      </c>
      <c r="F936" s="32">
        <f>MAX(0.03,MIN(0.18,NORMINV(RAND(),$C$9,$C$10)))</f>
        <v/>
      </c>
      <c r="G936" s="32">
        <f>MAX(0.02,MIN(0.9,NORMINV(RAND(),$C$11,0.10)))</f>
        <v/>
      </c>
      <c r="H936" s="32">
        <f>MAX(0.02,MIN(0.98,NORMINV(RAND(),$C$13,0.15)))</f>
        <v/>
      </c>
      <c r="I936" s="32">
        <f>MAX(0,NORMINV(RAND(),$C$14,0.033))</f>
        <v/>
      </c>
      <c r="J936" s="33">
        <f>($C$7*$C$8/365)*F936</f>
        <v/>
      </c>
      <c r="K936" s="33">
        <f>$C$7*G936*$C$12*H936</f>
        <v/>
      </c>
      <c r="L936" s="33">
        <f>$C$7*I936*$C$15</f>
        <v/>
      </c>
      <c r="M936" s="33">
        <f>J936-K936-L936</f>
        <v/>
      </c>
    </row>
    <row r="937">
      <c r="E937" s="20" t="n">
        <v>929</v>
      </c>
      <c r="F937" s="32">
        <f>MAX(0.03,MIN(0.18,NORMINV(RAND(),$C$9,$C$10)))</f>
        <v/>
      </c>
      <c r="G937" s="32">
        <f>MAX(0.02,MIN(0.9,NORMINV(RAND(),$C$11,0.10)))</f>
        <v/>
      </c>
      <c r="H937" s="32">
        <f>MAX(0.02,MIN(0.98,NORMINV(RAND(),$C$13,0.15)))</f>
        <v/>
      </c>
      <c r="I937" s="32">
        <f>MAX(0,NORMINV(RAND(),$C$14,0.033))</f>
        <v/>
      </c>
      <c r="J937" s="33">
        <f>($C$7*$C$8/365)*F937</f>
        <v/>
      </c>
      <c r="K937" s="33">
        <f>$C$7*G937*$C$12*H937</f>
        <v/>
      </c>
      <c r="L937" s="33">
        <f>$C$7*I937*$C$15</f>
        <v/>
      </c>
      <c r="M937" s="33">
        <f>J937-K937-L937</f>
        <v/>
      </c>
    </row>
    <row r="938">
      <c r="E938" s="20" t="n">
        <v>930</v>
      </c>
      <c r="F938" s="32">
        <f>MAX(0.03,MIN(0.18,NORMINV(RAND(),$C$9,$C$10)))</f>
        <v/>
      </c>
      <c r="G938" s="32">
        <f>MAX(0.02,MIN(0.9,NORMINV(RAND(),$C$11,0.10)))</f>
        <v/>
      </c>
      <c r="H938" s="32">
        <f>MAX(0.02,MIN(0.98,NORMINV(RAND(),$C$13,0.15)))</f>
        <v/>
      </c>
      <c r="I938" s="32">
        <f>MAX(0,NORMINV(RAND(),$C$14,0.033))</f>
        <v/>
      </c>
      <c r="J938" s="33">
        <f>($C$7*$C$8/365)*F938</f>
        <v/>
      </c>
      <c r="K938" s="33">
        <f>$C$7*G938*$C$12*H938</f>
        <v/>
      </c>
      <c r="L938" s="33">
        <f>$C$7*I938*$C$15</f>
        <v/>
      </c>
      <c r="M938" s="33">
        <f>J938-K938-L938</f>
        <v/>
      </c>
    </row>
    <row r="939">
      <c r="E939" s="20" t="n">
        <v>931</v>
      </c>
      <c r="F939" s="32">
        <f>MAX(0.03,MIN(0.18,NORMINV(RAND(),$C$9,$C$10)))</f>
        <v/>
      </c>
      <c r="G939" s="32">
        <f>MAX(0.02,MIN(0.9,NORMINV(RAND(),$C$11,0.10)))</f>
        <v/>
      </c>
      <c r="H939" s="32">
        <f>MAX(0.02,MIN(0.98,NORMINV(RAND(),$C$13,0.15)))</f>
        <v/>
      </c>
      <c r="I939" s="32">
        <f>MAX(0,NORMINV(RAND(),$C$14,0.033))</f>
        <v/>
      </c>
      <c r="J939" s="33">
        <f>($C$7*$C$8/365)*F939</f>
        <v/>
      </c>
      <c r="K939" s="33">
        <f>$C$7*G939*$C$12*H939</f>
        <v/>
      </c>
      <c r="L939" s="33">
        <f>$C$7*I939*$C$15</f>
        <v/>
      </c>
      <c r="M939" s="33">
        <f>J939-K939-L939</f>
        <v/>
      </c>
    </row>
    <row r="940">
      <c r="E940" s="20" t="n">
        <v>932</v>
      </c>
      <c r="F940" s="32">
        <f>MAX(0.03,MIN(0.18,NORMINV(RAND(),$C$9,$C$10)))</f>
        <v/>
      </c>
      <c r="G940" s="32">
        <f>MAX(0.02,MIN(0.9,NORMINV(RAND(),$C$11,0.10)))</f>
        <v/>
      </c>
      <c r="H940" s="32">
        <f>MAX(0.02,MIN(0.98,NORMINV(RAND(),$C$13,0.15)))</f>
        <v/>
      </c>
      <c r="I940" s="32">
        <f>MAX(0,NORMINV(RAND(),$C$14,0.033))</f>
        <v/>
      </c>
      <c r="J940" s="33">
        <f>($C$7*$C$8/365)*F940</f>
        <v/>
      </c>
      <c r="K940" s="33">
        <f>$C$7*G940*$C$12*H940</f>
        <v/>
      </c>
      <c r="L940" s="33">
        <f>$C$7*I940*$C$15</f>
        <v/>
      </c>
      <c r="M940" s="33">
        <f>J940-K940-L940</f>
        <v/>
      </c>
    </row>
    <row r="941">
      <c r="E941" s="20" t="n">
        <v>933</v>
      </c>
      <c r="F941" s="32">
        <f>MAX(0.03,MIN(0.18,NORMINV(RAND(),$C$9,$C$10)))</f>
        <v/>
      </c>
      <c r="G941" s="32">
        <f>MAX(0.02,MIN(0.9,NORMINV(RAND(),$C$11,0.10)))</f>
        <v/>
      </c>
      <c r="H941" s="32">
        <f>MAX(0.02,MIN(0.98,NORMINV(RAND(),$C$13,0.15)))</f>
        <v/>
      </c>
      <c r="I941" s="32">
        <f>MAX(0,NORMINV(RAND(),$C$14,0.033))</f>
        <v/>
      </c>
      <c r="J941" s="33">
        <f>($C$7*$C$8/365)*F941</f>
        <v/>
      </c>
      <c r="K941" s="33">
        <f>$C$7*G941*$C$12*H941</f>
        <v/>
      </c>
      <c r="L941" s="33">
        <f>$C$7*I941*$C$15</f>
        <v/>
      </c>
      <c r="M941" s="33">
        <f>J941-K941-L941</f>
        <v/>
      </c>
    </row>
    <row r="942">
      <c r="E942" s="20" t="n">
        <v>934</v>
      </c>
      <c r="F942" s="32">
        <f>MAX(0.03,MIN(0.18,NORMINV(RAND(),$C$9,$C$10)))</f>
        <v/>
      </c>
      <c r="G942" s="32">
        <f>MAX(0.02,MIN(0.9,NORMINV(RAND(),$C$11,0.10)))</f>
        <v/>
      </c>
      <c r="H942" s="32">
        <f>MAX(0.02,MIN(0.98,NORMINV(RAND(),$C$13,0.15)))</f>
        <v/>
      </c>
      <c r="I942" s="32">
        <f>MAX(0,NORMINV(RAND(),$C$14,0.033))</f>
        <v/>
      </c>
      <c r="J942" s="33">
        <f>($C$7*$C$8/365)*F942</f>
        <v/>
      </c>
      <c r="K942" s="33">
        <f>$C$7*G942*$C$12*H942</f>
        <v/>
      </c>
      <c r="L942" s="33">
        <f>$C$7*I942*$C$15</f>
        <v/>
      </c>
      <c r="M942" s="33">
        <f>J942-K942-L942</f>
        <v/>
      </c>
    </row>
    <row r="943">
      <c r="E943" s="20" t="n">
        <v>935</v>
      </c>
      <c r="F943" s="32">
        <f>MAX(0.03,MIN(0.18,NORMINV(RAND(),$C$9,$C$10)))</f>
        <v/>
      </c>
      <c r="G943" s="32">
        <f>MAX(0.02,MIN(0.9,NORMINV(RAND(),$C$11,0.10)))</f>
        <v/>
      </c>
      <c r="H943" s="32">
        <f>MAX(0.02,MIN(0.98,NORMINV(RAND(),$C$13,0.15)))</f>
        <v/>
      </c>
      <c r="I943" s="32">
        <f>MAX(0,NORMINV(RAND(),$C$14,0.033))</f>
        <v/>
      </c>
      <c r="J943" s="33">
        <f>($C$7*$C$8/365)*F943</f>
        <v/>
      </c>
      <c r="K943" s="33">
        <f>$C$7*G943*$C$12*H943</f>
        <v/>
      </c>
      <c r="L943" s="33">
        <f>$C$7*I943*$C$15</f>
        <v/>
      </c>
      <c r="M943" s="33">
        <f>J943-K943-L943</f>
        <v/>
      </c>
    </row>
    <row r="944">
      <c r="E944" s="20" t="n">
        <v>936</v>
      </c>
      <c r="F944" s="32">
        <f>MAX(0.03,MIN(0.18,NORMINV(RAND(),$C$9,$C$10)))</f>
        <v/>
      </c>
      <c r="G944" s="32">
        <f>MAX(0.02,MIN(0.9,NORMINV(RAND(),$C$11,0.10)))</f>
        <v/>
      </c>
      <c r="H944" s="32">
        <f>MAX(0.02,MIN(0.98,NORMINV(RAND(),$C$13,0.15)))</f>
        <v/>
      </c>
      <c r="I944" s="32">
        <f>MAX(0,NORMINV(RAND(),$C$14,0.033))</f>
        <v/>
      </c>
      <c r="J944" s="33">
        <f>($C$7*$C$8/365)*F944</f>
        <v/>
      </c>
      <c r="K944" s="33">
        <f>$C$7*G944*$C$12*H944</f>
        <v/>
      </c>
      <c r="L944" s="33">
        <f>$C$7*I944*$C$15</f>
        <v/>
      </c>
      <c r="M944" s="33">
        <f>J944-K944-L944</f>
        <v/>
      </c>
    </row>
    <row r="945">
      <c r="E945" s="20" t="n">
        <v>937</v>
      </c>
      <c r="F945" s="32">
        <f>MAX(0.03,MIN(0.18,NORMINV(RAND(),$C$9,$C$10)))</f>
        <v/>
      </c>
      <c r="G945" s="32">
        <f>MAX(0.02,MIN(0.9,NORMINV(RAND(),$C$11,0.10)))</f>
        <v/>
      </c>
      <c r="H945" s="32">
        <f>MAX(0.02,MIN(0.98,NORMINV(RAND(),$C$13,0.15)))</f>
        <v/>
      </c>
      <c r="I945" s="32">
        <f>MAX(0,NORMINV(RAND(),$C$14,0.033))</f>
        <v/>
      </c>
      <c r="J945" s="33">
        <f>($C$7*$C$8/365)*F945</f>
        <v/>
      </c>
      <c r="K945" s="33">
        <f>$C$7*G945*$C$12*H945</f>
        <v/>
      </c>
      <c r="L945" s="33">
        <f>$C$7*I945*$C$15</f>
        <v/>
      </c>
      <c r="M945" s="33">
        <f>J945-K945-L945</f>
        <v/>
      </c>
    </row>
    <row r="946">
      <c r="E946" s="20" t="n">
        <v>938</v>
      </c>
      <c r="F946" s="32">
        <f>MAX(0.03,MIN(0.18,NORMINV(RAND(),$C$9,$C$10)))</f>
        <v/>
      </c>
      <c r="G946" s="32">
        <f>MAX(0.02,MIN(0.9,NORMINV(RAND(),$C$11,0.10)))</f>
        <v/>
      </c>
      <c r="H946" s="32">
        <f>MAX(0.02,MIN(0.98,NORMINV(RAND(),$C$13,0.15)))</f>
        <v/>
      </c>
      <c r="I946" s="32">
        <f>MAX(0,NORMINV(RAND(),$C$14,0.033))</f>
        <v/>
      </c>
      <c r="J946" s="33">
        <f>($C$7*$C$8/365)*F946</f>
        <v/>
      </c>
      <c r="K946" s="33">
        <f>$C$7*G946*$C$12*H946</f>
        <v/>
      </c>
      <c r="L946" s="33">
        <f>$C$7*I946*$C$15</f>
        <v/>
      </c>
      <c r="M946" s="33">
        <f>J946-K946-L946</f>
        <v/>
      </c>
    </row>
    <row r="947">
      <c r="E947" s="20" t="n">
        <v>939</v>
      </c>
      <c r="F947" s="32">
        <f>MAX(0.03,MIN(0.18,NORMINV(RAND(),$C$9,$C$10)))</f>
        <v/>
      </c>
      <c r="G947" s="32">
        <f>MAX(0.02,MIN(0.9,NORMINV(RAND(),$C$11,0.10)))</f>
        <v/>
      </c>
      <c r="H947" s="32">
        <f>MAX(0.02,MIN(0.98,NORMINV(RAND(),$C$13,0.15)))</f>
        <v/>
      </c>
      <c r="I947" s="32">
        <f>MAX(0,NORMINV(RAND(),$C$14,0.033))</f>
        <v/>
      </c>
      <c r="J947" s="33">
        <f>($C$7*$C$8/365)*F947</f>
        <v/>
      </c>
      <c r="K947" s="33">
        <f>$C$7*G947*$C$12*H947</f>
        <v/>
      </c>
      <c r="L947" s="33">
        <f>$C$7*I947*$C$15</f>
        <v/>
      </c>
      <c r="M947" s="33">
        <f>J947-K947-L947</f>
        <v/>
      </c>
    </row>
    <row r="948">
      <c r="E948" s="20" t="n">
        <v>940</v>
      </c>
      <c r="F948" s="32">
        <f>MAX(0.03,MIN(0.18,NORMINV(RAND(),$C$9,$C$10)))</f>
        <v/>
      </c>
      <c r="G948" s="32">
        <f>MAX(0.02,MIN(0.9,NORMINV(RAND(),$C$11,0.10)))</f>
        <v/>
      </c>
      <c r="H948" s="32">
        <f>MAX(0.02,MIN(0.98,NORMINV(RAND(),$C$13,0.15)))</f>
        <v/>
      </c>
      <c r="I948" s="32">
        <f>MAX(0,NORMINV(RAND(),$C$14,0.033))</f>
        <v/>
      </c>
      <c r="J948" s="33">
        <f>($C$7*$C$8/365)*F948</f>
        <v/>
      </c>
      <c r="K948" s="33">
        <f>$C$7*G948*$C$12*H948</f>
        <v/>
      </c>
      <c r="L948" s="33">
        <f>$C$7*I948*$C$15</f>
        <v/>
      </c>
      <c r="M948" s="33">
        <f>J948-K948-L948</f>
        <v/>
      </c>
    </row>
    <row r="949">
      <c r="E949" s="20" t="n">
        <v>941</v>
      </c>
      <c r="F949" s="32">
        <f>MAX(0.03,MIN(0.18,NORMINV(RAND(),$C$9,$C$10)))</f>
        <v/>
      </c>
      <c r="G949" s="32">
        <f>MAX(0.02,MIN(0.9,NORMINV(RAND(),$C$11,0.10)))</f>
        <v/>
      </c>
      <c r="H949" s="32">
        <f>MAX(0.02,MIN(0.98,NORMINV(RAND(),$C$13,0.15)))</f>
        <v/>
      </c>
      <c r="I949" s="32">
        <f>MAX(0,NORMINV(RAND(),$C$14,0.033))</f>
        <v/>
      </c>
      <c r="J949" s="33">
        <f>($C$7*$C$8/365)*F949</f>
        <v/>
      </c>
      <c r="K949" s="33">
        <f>$C$7*G949*$C$12*H949</f>
        <v/>
      </c>
      <c r="L949" s="33">
        <f>$C$7*I949*$C$15</f>
        <v/>
      </c>
      <c r="M949" s="33">
        <f>J949-K949-L949</f>
        <v/>
      </c>
    </row>
    <row r="950">
      <c r="E950" s="20" t="n">
        <v>942</v>
      </c>
      <c r="F950" s="32">
        <f>MAX(0.03,MIN(0.18,NORMINV(RAND(),$C$9,$C$10)))</f>
        <v/>
      </c>
      <c r="G950" s="32">
        <f>MAX(0.02,MIN(0.9,NORMINV(RAND(),$C$11,0.10)))</f>
        <v/>
      </c>
      <c r="H950" s="32">
        <f>MAX(0.02,MIN(0.98,NORMINV(RAND(),$C$13,0.15)))</f>
        <v/>
      </c>
      <c r="I950" s="32">
        <f>MAX(0,NORMINV(RAND(),$C$14,0.033))</f>
        <v/>
      </c>
      <c r="J950" s="33">
        <f>($C$7*$C$8/365)*F950</f>
        <v/>
      </c>
      <c r="K950" s="33">
        <f>$C$7*G950*$C$12*H950</f>
        <v/>
      </c>
      <c r="L950" s="33">
        <f>$C$7*I950*$C$15</f>
        <v/>
      </c>
      <c r="M950" s="33">
        <f>J950-K950-L950</f>
        <v/>
      </c>
    </row>
    <row r="951">
      <c r="E951" s="20" t="n">
        <v>943</v>
      </c>
      <c r="F951" s="32">
        <f>MAX(0.03,MIN(0.18,NORMINV(RAND(),$C$9,$C$10)))</f>
        <v/>
      </c>
      <c r="G951" s="32">
        <f>MAX(0.02,MIN(0.9,NORMINV(RAND(),$C$11,0.10)))</f>
        <v/>
      </c>
      <c r="H951" s="32">
        <f>MAX(0.02,MIN(0.98,NORMINV(RAND(),$C$13,0.15)))</f>
        <v/>
      </c>
      <c r="I951" s="32">
        <f>MAX(0,NORMINV(RAND(),$C$14,0.033))</f>
        <v/>
      </c>
      <c r="J951" s="33">
        <f>($C$7*$C$8/365)*F951</f>
        <v/>
      </c>
      <c r="K951" s="33">
        <f>$C$7*G951*$C$12*H951</f>
        <v/>
      </c>
      <c r="L951" s="33">
        <f>$C$7*I951*$C$15</f>
        <v/>
      </c>
      <c r="M951" s="33">
        <f>J951-K951-L951</f>
        <v/>
      </c>
    </row>
    <row r="952">
      <c r="E952" s="20" t="n">
        <v>944</v>
      </c>
      <c r="F952" s="32">
        <f>MAX(0.03,MIN(0.18,NORMINV(RAND(),$C$9,$C$10)))</f>
        <v/>
      </c>
      <c r="G952" s="32">
        <f>MAX(0.02,MIN(0.9,NORMINV(RAND(),$C$11,0.10)))</f>
        <v/>
      </c>
      <c r="H952" s="32">
        <f>MAX(0.02,MIN(0.98,NORMINV(RAND(),$C$13,0.15)))</f>
        <v/>
      </c>
      <c r="I952" s="32">
        <f>MAX(0,NORMINV(RAND(),$C$14,0.033))</f>
        <v/>
      </c>
      <c r="J952" s="33">
        <f>($C$7*$C$8/365)*F952</f>
        <v/>
      </c>
      <c r="K952" s="33">
        <f>$C$7*G952*$C$12*H952</f>
        <v/>
      </c>
      <c r="L952" s="33">
        <f>$C$7*I952*$C$15</f>
        <v/>
      </c>
      <c r="M952" s="33">
        <f>J952-K952-L952</f>
        <v/>
      </c>
    </row>
    <row r="953">
      <c r="E953" s="20" t="n">
        <v>945</v>
      </c>
      <c r="F953" s="32">
        <f>MAX(0.03,MIN(0.18,NORMINV(RAND(),$C$9,$C$10)))</f>
        <v/>
      </c>
      <c r="G953" s="32">
        <f>MAX(0.02,MIN(0.9,NORMINV(RAND(),$C$11,0.10)))</f>
        <v/>
      </c>
      <c r="H953" s="32">
        <f>MAX(0.02,MIN(0.98,NORMINV(RAND(),$C$13,0.15)))</f>
        <v/>
      </c>
      <c r="I953" s="32">
        <f>MAX(0,NORMINV(RAND(),$C$14,0.033))</f>
        <v/>
      </c>
      <c r="J953" s="33">
        <f>($C$7*$C$8/365)*F953</f>
        <v/>
      </c>
      <c r="K953" s="33">
        <f>$C$7*G953*$C$12*H953</f>
        <v/>
      </c>
      <c r="L953" s="33">
        <f>$C$7*I953*$C$15</f>
        <v/>
      </c>
      <c r="M953" s="33">
        <f>J953-K953-L953</f>
        <v/>
      </c>
    </row>
    <row r="954">
      <c r="E954" s="20" t="n">
        <v>946</v>
      </c>
      <c r="F954" s="32">
        <f>MAX(0.03,MIN(0.18,NORMINV(RAND(),$C$9,$C$10)))</f>
        <v/>
      </c>
      <c r="G954" s="32">
        <f>MAX(0.02,MIN(0.9,NORMINV(RAND(),$C$11,0.10)))</f>
        <v/>
      </c>
      <c r="H954" s="32">
        <f>MAX(0.02,MIN(0.98,NORMINV(RAND(),$C$13,0.15)))</f>
        <v/>
      </c>
      <c r="I954" s="32">
        <f>MAX(0,NORMINV(RAND(),$C$14,0.033))</f>
        <v/>
      </c>
      <c r="J954" s="33">
        <f>($C$7*$C$8/365)*F954</f>
        <v/>
      </c>
      <c r="K954" s="33">
        <f>$C$7*G954*$C$12*H954</f>
        <v/>
      </c>
      <c r="L954" s="33">
        <f>$C$7*I954*$C$15</f>
        <v/>
      </c>
      <c r="M954" s="33">
        <f>J954-K954-L954</f>
        <v/>
      </c>
    </row>
    <row r="955">
      <c r="E955" s="20" t="n">
        <v>947</v>
      </c>
      <c r="F955" s="32">
        <f>MAX(0.03,MIN(0.18,NORMINV(RAND(),$C$9,$C$10)))</f>
        <v/>
      </c>
      <c r="G955" s="32">
        <f>MAX(0.02,MIN(0.9,NORMINV(RAND(),$C$11,0.10)))</f>
        <v/>
      </c>
      <c r="H955" s="32">
        <f>MAX(0.02,MIN(0.98,NORMINV(RAND(),$C$13,0.15)))</f>
        <v/>
      </c>
      <c r="I955" s="32">
        <f>MAX(0,NORMINV(RAND(),$C$14,0.033))</f>
        <v/>
      </c>
      <c r="J955" s="33">
        <f>($C$7*$C$8/365)*F955</f>
        <v/>
      </c>
      <c r="K955" s="33">
        <f>$C$7*G955*$C$12*H955</f>
        <v/>
      </c>
      <c r="L955" s="33">
        <f>$C$7*I955*$C$15</f>
        <v/>
      </c>
      <c r="M955" s="33">
        <f>J955-K955-L955</f>
        <v/>
      </c>
    </row>
    <row r="956">
      <c r="E956" s="20" t="n">
        <v>948</v>
      </c>
      <c r="F956" s="32">
        <f>MAX(0.03,MIN(0.18,NORMINV(RAND(),$C$9,$C$10)))</f>
        <v/>
      </c>
      <c r="G956" s="32">
        <f>MAX(0.02,MIN(0.9,NORMINV(RAND(),$C$11,0.10)))</f>
        <v/>
      </c>
      <c r="H956" s="32">
        <f>MAX(0.02,MIN(0.98,NORMINV(RAND(),$C$13,0.15)))</f>
        <v/>
      </c>
      <c r="I956" s="32">
        <f>MAX(0,NORMINV(RAND(),$C$14,0.033))</f>
        <v/>
      </c>
      <c r="J956" s="33">
        <f>($C$7*$C$8/365)*F956</f>
        <v/>
      </c>
      <c r="K956" s="33">
        <f>$C$7*G956*$C$12*H956</f>
        <v/>
      </c>
      <c r="L956" s="33">
        <f>$C$7*I956*$C$15</f>
        <v/>
      </c>
      <c r="M956" s="33">
        <f>J956-K956-L956</f>
        <v/>
      </c>
    </row>
    <row r="957">
      <c r="E957" s="20" t="n">
        <v>949</v>
      </c>
      <c r="F957" s="32">
        <f>MAX(0.03,MIN(0.18,NORMINV(RAND(),$C$9,$C$10)))</f>
        <v/>
      </c>
      <c r="G957" s="32">
        <f>MAX(0.02,MIN(0.9,NORMINV(RAND(),$C$11,0.10)))</f>
        <v/>
      </c>
      <c r="H957" s="32">
        <f>MAX(0.02,MIN(0.98,NORMINV(RAND(),$C$13,0.15)))</f>
        <v/>
      </c>
      <c r="I957" s="32">
        <f>MAX(0,NORMINV(RAND(),$C$14,0.033))</f>
        <v/>
      </c>
      <c r="J957" s="33">
        <f>($C$7*$C$8/365)*F957</f>
        <v/>
      </c>
      <c r="K957" s="33">
        <f>$C$7*G957*$C$12*H957</f>
        <v/>
      </c>
      <c r="L957" s="33">
        <f>$C$7*I957*$C$15</f>
        <v/>
      </c>
      <c r="M957" s="33">
        <f>J957-K957-L957</f>
        <v/>
      </c>
    </row>
    <row r="958">
      <c r="E958" s="20" t="n">
        <v>950</v>
      </c>
      <c r="F958" s="32">
        <f>MAX(0.03,MIN(0.18,NORMINV(RAND(),$C$9,$C$10)))</f>
        <v/>
      </c>
      <c r="G958" s="32">
        <f>MAX(0.02,MIN(0.9,NORMINV(RAND(),$C$11,0.10)))</f>
        <v/>
      </c>
      <c r="H958" s="32">
        <f>MAX(0.02,MIN(0.98,NORMINV(RAND(),$C$13,0.15)))</f>
        <v/>
      </c>
      <c r="I958" s="32">
        <f>MAX(0,NORMINV(RAND(),$C$14,0.033))</f>
        <v/>
      </c>
      <c r="J958" s="33">
        <f>($C$7*$C$8/365)*F958</f>
        <v/>
      </c>
      <c r="K958" s="33">
        <f>$C$7*G958*$C$12*H958</f>
        <v/>
      </c>
      <c r="L958" s="33">
        <f>$C$7*I958*$C$15</f>
        <v/>
      </c>
      <c r="M958" s="33">
        <f>J958-K958-L958</f>
        <v/>
      </c>
    </row>
    <row r="959">
      <c r="E959" s="20" t="n">
        <v>951</v>
      </c>
      <c r="F959" s="32">
        <f>MAX(0.03,MIN(0.18,NORMINV(RAND(),$C$9,$C$10)))</f>
        <v/>
      </c>
      <c r="G959" s="32">
        <f>MAX(0.02,MIN(0.9,NORMINV(RAND(),$C$11,0.10)))</f>
        <v/>
      </c>
      <c r="H959" s="32">
        <f>MAX(0.02,MIN(0.98,NORMINV(RAND(),$C$13,0.15)))</f>
        <v/>
      </c>
      <c r="I959" s="32">
        <f>MAX(0,NORMINV(RAND(),$C$14,0.033))</f>
        <v/>
      </c>
      <c r="J959" s="33">
        <f>($C$7*$C$8/365)*F959</f>
        <v/>
      </c>
      <c r="K959" s="33">
        <f>$C$7*G959*$C$12*H959</f>
        <v/>
      </c>
      <c r="L959" s="33">
        <f>$C$7*I959*$C$15</f>
        <v/>
      </c>
      <c r="M959" s="33">
        <f>J959-K959-L959</f>
        <v/>
      </c>
    </row>
    <row r="960">
      <c r="E960" s="20" t="n">
        <v>952</v>
      </c>
      <c r="F960" s="32">
        <f>MAX(0.03,MIN(0.18,NORMINV(RAND(),$C$9,$C$10)))</f>
        <v/>
      </c>
      <c r="G960" s="32">
        <f>MAX(0.02,MIN(0.9,NORMINV(RAND(),$C$11,0.10)))</f>
        <v/>
      </c>
      <c r="H960" s="32">
        <f>MAX(0.02,MIN(0.98,NORMINV(RAND(),$C$13,0.15)))</f>
        <v/>
      </c>
      <c r="I960" s="32">
        <f>MAX(0,NORMINV(RAND(),$C$14,0.033))</f>
        <v/>
      </c>
      <c r="J960" s="33">
        <f>($C$7*$C$8/365)*F960</f>
        <v/>
      </c>
      <c r="K960" s="33">
        <f>$C$7*G960*$C$12*H960</f>
        <v/>
      </c>
      <c r="L960" s="33">
        <f>$C$7*I960*$C$15</f>
        <v/>
      </c>
      <c r="M960" s="33">
        <f>J960-K960-L960</f>
        <v/>
      </c>
    </row>
    <row r="961">
      <c r="E961" s="20" t="n">
        <v>953</v>
      </c>
      <c r="F961" s="32">
        <f>MAX(0.03,MIN(0.18,NORMINV(RAND(),$C$9,$C$10)))</f>
        <v/>
      </c>
      <c r="G961" s="32">
        <f>MAX(0.02,MIN(0.9,NORMINV(RAND(),$C$11,0.10)))</f>
        <v/>
      </c>
      <c r="H961" s="32">
        <f>MAX(0.02,MIN(0.98,NORMINV(RAND(),$C$13,0.15)))</f>
        <v/>
      </c>
      <c r="I961" s="32">
        <f>MAX(0,NORMINV(RAND(),$C$14,0.033))</f>
        <v/>
      </c>
      <c r="J961" s="33">
        <f>($C$7*$C$8/365)*F961</f>
        <v/>
      </c>
      <c r="K961" s="33">
        <f>$C$7*G961*$C$12*H961</f>
        <v/>
      </c>
      <c r="L961" s="33">
        <f>$C$7*I961*$C$15</f>
        <v/>
      </c>
      <c r="M961" s="33">
        <f>J961-K961-L961</f>
        <v/>
      </c>
    </row>
    <row r="962">
      <c r="E962" s="20" t="n">
        <v>954</v>
      </c>
      <c r="F962" s="32">
        <f>MAX(0.03,MIN(0.18,NORMINV(RAND(),$C$9,$C$10)))</f>
        <v/>
      </c>
      <c r="G962" s="32">
        <f>MAX(0.02,MIN(0.9,NORMINV(RAND(),$C$11,0.10)))</f>
        <v/>
      </c>
      <c r="H962" s="32">
        <f>MAX(0.02,MIN(0.98,NORMINV(RAND(),$C$13,0.15)))</f>
        <v/>
      </c>
      <c r="I962" s="32">
        <f>MAX(0,NORMINV(RAND(),$C$14,0.033))</f>
        <v/>
      </c>
      <c r="J962" s="33">
        <f>($C$7*$C$8/365)*F962</f>
        <v/>
      </c>
      <c r="K962" s="33">
        <f>$C$7*G962*$C$12*H962</f>
        <v/>
      </c>
      <c r="L962" s="33">
        <f>$C$7*I962*$C$15</f>
        <v/>
      </c>
      <c r="M962" s="33">
        <f>J962-K962-L962</f>
        <v/>
      </c>
    </row>
    <row r="963">
      <c r="E963" s="20" t="n">
        <v>955</v>
      </c>
      <c r="F963" s="32">
        <f>MAX(0.03,MIN(0.18,NORMINV(RAND(),$C$9,$C$10)))</f>
        <v/>
      </c>
      <c r="G963" s="32">
        <f>MAX(0.02,MIN(0.9,NORMINV(RAND(),$C$11,0.10)))</f>
        <v/>
      </c>
      <c r="H963" s="32">
        <f>MAX(0.02,MIN(0.98,NORMINV(RAND(),$C$13,0.15)))</f>
        <v/>
      </c>
      <c r="I963" s="32">
        <f>MAX(0,NORMINV(RAND(),$C$14,0.033))</f>
        <v/>
      </c>
      <c r="J963" s="33">
        <f>($C$7*$C$8/365)*F963</f>
        <v/>
      </c>
      <c r="K963" s="33">
        <f>$C$7*G963*$C$12*H963</f>
        <v/>
      </c>
      <c r="L963" s="33">
        <f>$C$7*I963*$C$15</f>
        <v/>
      </c>
      <c r="M963" s="33">
        <f>J963-K963-L963</f>
        <v/>
      </c>
    </row>
    <row r="964">
      <c r="E964" s="20" t="n">
        <v>956</v>
      </c>
      <c r="F964" s="32">
        <f>MAX(0.03,MIN(0.18,NORMINV(RAND(),$C$9,$C$10)))</f>
        <v/>
      </c>
      <c r="G964" s="32">
        <f>MAX(0.02,MIN(0.9,NORMINV(RAND(),$C$11,0.10)))</f>
        <v/>
      </c>
      <c r="H964" s="32">
        <f>MAX(0.02,MIN(0.98,NORMINV(RAND(),$C$13,0.15)))</f>
        <v/>
      </c>
      <c r="I964" s="32">
        <f>MAX(0,NORMINV(RAND(),$C$14,0.033))</f>
        <v/>
      </c>
      <c r="J964" s="33">
        <f>($C$7*$C$8/365)*F964</f>
        <v/>
      </c>
      <c r="K964" s="33">
        <f>$C$7*G964*$C$12*H964</f>
        <v/>
      </c>
      <c r="L964" s="33">
        <f>$C$7*I964*$C$15</f>
        <v/>
      </c>
      <c r="M964" s="33">
        <f>J964-K964-L964</f>
        <v/>
      </c>
    </row>
    <row r="965">
      <c r="E965" s="20" t="n">
        <v>957</v>
      </c>
      <c r="F965" s="32">
        <f>MAX(0.03,MIN(0.18,NORMINV(RAND(),$C$9,$C$10)))</f>
        <v/>
      </c>
      <c r="G965" s="32">
        <f>MAX(0.02,MIN(0.9,NORMINV(RAND(),$C$11,0.10)))</f>
        <v/>
      </c>
      <c r="H965" s="32">
        <f>MAX(0.02,MIN(0.98,NORMINV(RAND(),$C$13,0.15)))</f>
        <v/>
      </c>
      <c r="I965" s="32">
        <f>MAX(0,NORMINV(RAND(),$C$14,0.033))</f>
        <v/>
      </c>
      <c r="J965" s="33">
        <f>($C$7*$C$8/365)*F965</f>
        <v/>
      </c>
      <c r="K965" s="33">
        <f>$C$7*G965*$C$12*H965</f>
        <v/>
      </c>
      <c r="L965" s="33">
        <f>$C$7*I965*$C$15</f>
        <v/>
      </c>
      <c r="M965" s="33">
        <f>J965-K965-L965</f>
        <v/>
      </c>
    </row>
    <row r="966">
      <c r="E966" s="20" t="n">
        <v>958</v>
      </c>
      <c r="F966" s="32">
        <f>MAX(0.03,MIN(0.18,NORMINV(RAND(),$C$9,$C$10)))</f>
        <v/>
      </c>
      <c r="G966" s="32">
        <f>MAX(0.02,MIN(0.9,NORMINV(RAND(),$C$11,0.10)))</f>
        <v/>
      </c>
      <c r="H966" s="32">
        <f>MAX(0.02,MIN(0.98,NORMINV(RAND(),$C$13,0.15)))</f>
        <v/>
      </c>
      <c r="I966" s="32">
        <f>MAX(0,NORMINV(RAND(),$C$14,0.033))</f>
        <v/>
      </c>
      <c r="J966" s="33">
        <f>($C$7*$C$8/365)*F966</f>
        <v/>
      </c>
      <c r="K966" s="33">
        <f>$C$7*G966*$C$12*H966</f>
        <v/>
      </c>
      <c r="L966" s="33">
        <f>$C$7*I966*$C$15</f>
        <v/>
      </c>
      <c r="M966" s="33">
        <f>J966-K966-L966</f>
        <v/>
      </c>
    </row>
    <row r="967">
      <c r="E967" s="20" t="n">
        <v>959</v>
      </c>
      <c r="F967" s="32">
        <f>MAX(0.03,MIN(0.18,NORMINV(RAND(),$C$9,$C$10)))</f>
        <v/>
      </c>
      <c r="G967" s="32">
        <f>MAX(0.02,MIN(0.9,NORMINV(RAND(),$C$11,0.10)))</f>
        <v/>
      </c>
      <c r="H967" s="32">
        <f>MAX(0.02,MIN(0.98,NORMINV(RAND(),$C$13,0.15)))</f>
        <v/>
      </c>
      <c r="I967" s="32">
        <f>MAX(0,NORMINV(RAND(),$C$14,0.033))</f>
        <v/>
      </c>
      <c r="J967" s="33">
        <f>($C$7*$C$8/365)*F967</f>
        <v/>
      </c>
      <c r="K967" s="33">
        <f>$C$7*G967*$C$12*H967</f>
        <v/>
      </c>
      <c r="L967" s="33">
        <f>$C$7*I967*$C$15</f>
        <v/>
      </c>
      <c r="M967" s="33">
        <f>J967-K967-L967</f>
        <v/>
      </c>
    </row>
    <row r="968">
      <c r="E968" s="20" t="n">
        <v>960</v>
      </c>
      <c r="F968" s="32">
        <f>MAX(0.03,MIN(0.18,NORMINV(RAND(),$C$9,$C$10)))</f>
        <v/>
      </c>
      <c r="G968" s="32">
        <f>MAX(0.02,MIN(0.9,NORMINV(RAND(),$C$11,0.10)))</f>
        <v/>
      </c>
      <c r="H968" s="32">
        <f>MAX(0.02,MIN(0.98,NORMINV(RAND(),$C$13,0.15)))</f>
        <v/>
      </c>
      <c r="I968" s="32">
        <f>MAX(0,NORMINV(RAND(),$C$14,0.033))</f>
        <v/>
      </c>
      <c r="J968" s="33">
        <f>($C$7*$C$8/365)*F968</f>
        <v/>
      </c>
      <c r="K968" s="33">
        <f>$C$7*G968*$C$12*H968</f>
        <v/>
      </c>
      <c r="L968" s="33">
        <f>$C$7*I968*$C$15</f>
        <v/>
      </c>
      <c r="M968" s="33">
        <f>J968-K968-L968</f>
        <v/>
      </c>
    </row>
    <row r="969">
      <c r="E969" s="20" t="n">
        <v>961</v>
      </c>
      <c r="F969" s="32">
        <f>MAX(0.03,MIN(0.18,NORMINV(RAND(),$C$9,$C$10)))</f>
        <v/>
      </c>
      <c r="G969" s="32">
        <f>MAX(0.02,MIN(0.9,NORMINV(RAND(),$C$11,0.10)))</f>
        <v/>
      </c>
      <c r="H969" s="32">
        <f>MAX(0.02,MIN(0.98,NORMINV(RAND(),$C$13,0.15)))</f>
        <v/>
      </c>
      <c r="I969" s="32">
        <f>MAX(0,NORMINV(RAND(),$C$14,0.033))</f>
        <v/>
      </c>
      <c r="J969" s="33">
        <f>($C$7*$C$8/365)*F969</f>
        <v/>
      </c>
      <c r="K969" s="33">
        <f>$C$7*G969*$C$12*H969</f>
        <v/>
      </c>
      <c r="L969" s="33">
        <f>$C$7*I969*$C$15</f>
        <v/>
      </c>
      <c r="M969" s="33">
        <f>J969-K969-L969</f>
        <v/>
      </c>
    </row>
    <row r="970">
      <c r="E970" s="20" t="n">
        <v>962</v>
      </c>
      <c r="F970" s="32">
        <f>MAX(0.03,MIN(0.18,NORMINV(RAND(),$C$9,$C$10)))</f>
        <v/>
      </c>
      <c r="G970" s="32">
        <f>MAX(0.02,MIN(0.9,NORMINV(RAND(),$C$11,0.10)))</f>
        <v/>
      </c>
      <c r="H970" s="32">
        <f>MAX(0.02,MIN(0.98,NORMINV(RAND(),$C$13,0.15)))</f>
        <v/>
      </c>
      <c r="I970" s="32">
        <f>MAX(0,NORMINV(RAND(),$C$14,0.033))</f>
        <v/>
      </c>
      <c r="J970" s="33">
        <f>($C$7*$C$8/365)*F970</f>
        <v/>
      </c>
      <c r="K970" s="33">
        <f>$C$7*G970*$C$12*H970</f>
        <v/>
      </c>
      <c r="L970" s="33">
        <f>$C$7*I970*$C$15</f>
        <v/>
      </c>
      <c r="M970" s="33">
        <f>J970-K970-L970</f>
        <v/>
      </c>
    </row>
    <row r="971">
      <c r="E971" s="20" t="n">
        <v>963</v>
      </c>
      <c r="F971" s="32">
        <f>MAX(0.03,MIN(0.18,NORMINV(RAND(),$C$9,$C$10)))</f>
        <v/>
      </c>
      <c r="G971" s="32">
        <f>MAX(0.02,MIN(0.9,NORMINV(RAND(),$C$11,0.10)))</f>
        <v/>
      </c>
      <c r="H971" s="32">
        <f>MAX(0.02,MIN(0.98,NORMINV(RAND(),$C$13,0.15)))</f>
        <v/>
      </c>
      <c r="I971" s="32">
        <f>MAX(0,NORMINV(RAND(),$C$14,0.033))</f>
        <v/>
      </c>
      <c r="J971" s="33">
        <f>($C$7*$C$8/365)*F971</f>
        <v/>
      </c>
      <c r="K971" s="33">
        <f>$C$7*G971*$C$12*H971</f>
        <v/>
      </c>
      <c r="L971" s="33">
        <f>$C$7*I971*$C$15</f>
        <v/>
      </c>
      <c r="M971" s="33">
        <f>J971-K971-L971</f>
        <v/>
      </c>
    </row>
    <row r="972">
      <c r="E972" s="20" t="n">
        <v>964</v>
      </c>
      <c r="F972" s="32">
        <f>MAX(0.03,MIN(0.18,NORMINV(RAND(),$C$9,$C$10)))</f>
        <v/>
      </c>
      <c r="G972" s="32">
        <f>MAX(0.02,MIN(0.9,NORMINV(RAND(),$C$11,0.10)))</f>
        <v/>
      </c>
      <c r="H972" s="32">
        <f>MAX(0.02,MIN(0.98,NORMINV(RAND(),$C$13,0.15)))</f>
        <v/>
      </c>
      <c r="I972" s="32">
        <f>MAX(0,NORMINV(RAND(),$C$14,0.033))</f>
        <v/>
      </c>
      <c r="J972" s="33">
        <f>($C$7*$C$8/365)*F972</f>
        <v/>
      </c>
      <c r="K972" s="33">
        <f>$C$7*G972*$C$12*H972</f>
        <v/>
      </c>
      <c r="L972" s="33">
        <f>$C$7*I972*$C$15</f>
        <v/>
      </c>
      <c r="M972" s="33">
        <f>J972-K972-L972</f>
        <v/>
      </c>
    </row>
    <row r="973">
      <c r="E973" s="20" t="n">
        <v>965</v>
      </c>
      <c r="F973" s="32">
        <f>MAX(0.03,MIN(0.18,NORMINV(RAND(),$C$9,$C$10)))</f>
        <v/>
      </c>
      <c r="G973" s="32">
        <f>MAX(0.02,MIN(0.9,NORMINV(RAND(),$C$11,0.10)))</f>
        <v/>
      </c>
      <c r="H973" s="32">
        <f>MAX(0.02,MIN(0.98,NORMINV(RAND(),$C$13,0.15)))</f>
        <v/>
      </c>
      <c r="I973" s="32">
        <f>MAX(0,NORMINV(RAND(),$C$14,0.033))</f>
        <v/>
      </c>
      <c r="J973" s="33">
        <f>($C$7*$C$8/365)*F973</f>
        <v/>
      </c>
      <c r="K973" s="33">
        <f>$C$7*G973*$C$12*H973</f>
        <v/>
      </c>
      <c r="L973" s="33">
        <f>$C$7*I973*$C$15</f>
        <v/>
      </c>
      <c r="M973" s="33">
        <f>J973-K973-L973</f>
        <v/>
      </c>
    </row>
    <row r="974">
      <c r="E974" s="20" t="n">
        <v>966</v>
      </c>
      <c r="F974" s="32">
        <f>MAX(0.03,MIN(0.18,NORMINV(RAND(),$C$9,$C$10)))</f>
        <v/>
      </c>
      <c r="G974" s="32">
        <f>MAX(0.02,MIN(0.9,NORMINV(RAND(),$C$11,0.10)))</f>
        <v/>
      </c>
      <c r="H974" s="32">
        <f>MAX(0.02,MIN(0.98,NORMINV(RAND(),$C$13,0.15)))</f>
        <v/>
      </c>
      <c r="I974" s="32">
        <f>MAX(0,NORMINV(RAND(),$C$14,0.033))</f>
        <v/>
      </c>
      <c r="J974" s="33">
        <f>($C$7*$C$8/365)*F974</f>
        <v/>
      </c>
      <c r="K974" s="33">
        <f>$C$7*G974*$C$12*H974</f>
        <v/>
      </c>
      <c r="L974" s="33">
        <f>$C$7*I974*$C$15</f>
        <v/>
      </c>
      <c r="M974" s="33">
        <f>J974-K974-L974</f>
        <v/>
      </c>
    </row>
    <row r="975">
      <c r="E975" s="20" t="n">
        <v>967</v>
      </c>
      <c r="F975" s="32">
        <f>MAX(0.03,MIN(0.18,NORMINV(RAND(),$C$9,$C$10)))</f>
        <v/>
      </c>
      <c r="G975" s="32">
        <f>MAX(0.02,MIN(0.9,NORMINV(RAND(),$C$11,0.10)))</f>
        <v/>
      </c>
      <c r="H975" s="32">
        <f>MAX(0.02,MIN(0.98,NORMINV(RAND(),$C$13,0.15)))</f>
        <v/>
      </c>
      <c r="I975" s="32">
        <f>MAX(0,NORMINV(RAND(),$C$14,0.033))</f>
        <v/>
      </c>
      <c r="J975" s="33">
        <f>($C$7*$C$8/365)*F975</f>
        <v/>
      </c>
      <c r="K975" s="33">
        <f>$C$7*G975*$C$12*H975</f>
        <v/>
      </c>
      <c r="L975" s="33">
        <f>$C$7*I975*$C$15</f>
        <v/>
      </c>
      <c r="M975" s="33">
        <f>J975-K975-L975</f>
        <v/>
      </c>
    </row>
    <row r="976">
      <c r="E976" s="20" t="n">
        <v>968</v>
      </c>
      <c r="F976" s="32">
        <f>MAX(0.03,MIN(0.18,NORMINV(RAND(),$C$9,$C$10)))</f>
        <v/>
      </c>
      <c r="G976" s="32">
        <f>MAX(0.02,MIN(0.9,NORMINV(RAND(),$C$11,0.10)))</f>
        <v/>
      </c>
      <c r="H976" s="32">
        <f>MAX(0.02,MIN(0.98,NORMINV(RAND(),$C$13,0.15)))</f>
        <v/>
      </c>
      <c r="I976" s="32">
        <f>MAX(0,NORMINV(RAND(),$C$14,0.033))</f>
        <v/>
      </c>
      <c r="J976" s="33">
        <f>($C$7*$C$8/365)*F976</f>
        <v/>
      </c>
      <c r="K976" s="33">
        <f>$C$7*G976*$C$12*H976</f>
        <v/>
      </c>
      <c r="L976" s="33">
        <f>$C$7*I976*$C$15</f>
        <v/>
      </c>
      <c r="M976" s="33">
        <f>J976-K976-L976</f>
        <v/>
      </c>
    </row>
    <row r="977">
      <c r="E977" s="20" t="n">
        <v>969</v>
      </c>
      <c r="F977" s="32">
        <f>MAX(0.03,MIN(0.18,NORMINV(RAND(),$C$9,$C$10)))</f>
        <v/>
      </c>
      <c r="G977" s="32">
        <f>MAX(0.02,MIN(0.9,NORMINV(RAND(),$C$11,0.10)))</f>
        <v/>
      </c>
      <c r="H977" s="32">
        <f>MAX(0.02,MIN(0.98,NORMINV(RAND(),$C$13,0.15)))</f>
        <v/>
      </c>
      <c r="I977" s="32">
        <f>MAX(0,NORMINV(RAND(),$C$14,0.033))</f>
        <v/>
      </c>
      <c r="J977" s="33">
        <f>($C$7*$C$8/365)*F977</f>
        <v/>
      </c>
      <c r="K977" s="33">
        <f>$C$7*G977*$C$12*H977</f>
        <v/>
      </c>
      <c r="L977" s="33">
        <f>$C$7*I977*$C$15</f>
        <v/>
      </c>
      <c r="M977" s="33">
        <f>J977-K977-L977</f>
        <v/>
      </c>
    </row>
    <row r="978">
      <c r="E978" s="20" t="n">
        <v>970</v>
      </c>
      <c r="F978" s="32">
        <f>MAX(0.03,MIN(0.18,NORMINV(RAND(),$C$9,$C$10)))</f>
        <v/>
      </c>
      <c r="G978" s="32">
        <f>MAX(0.02,MIN(0.9,NORMINV(RAND(),$C$11,0.10)))</f>
        <v/>
      </c>
      <c r="H978" s="32">
        <f>MAX(0.02,MIN(0.98,NORMINV(RAND(),$C$13,0.15)))</f>
        <v/>
      </c>
      <c r="I978" s="32">
        <f>MAX(0,NORMINV(RAND(),$C$14,0.033))</f>
        <v/>
      </c>
      <c r="J978" s="33">
        <f>($C$7*$C$8/365)*F978</f>
        <v/>
      </c>
      <c r="K978" s="33">
        <f>$C$7*G978*$C$12*H978</f>
        <v/>
      </c>
      <c r="L978" s="33">
        <f>$C$7*I978*$C$15</f>
        <v/>
      </c>
      <c r="M978" s="33">
        <f>J978-K978-L978</f>
        <v/>
      </c>
    </row>
    <row r="979">
      <c r="E979" s="20" t="n">
        <v>971</v>
      </c>
      <c r="F979" s="32">
        <f>MAX(0.03,MIN(0.18,NORMINV(RAND(),$C$9,$C$10)))</f>
        <v/>
      </c>
      <c r="G979" s="32">
        <f>MAX(0.02,MIN(0.9,NORMINV(RAND(),$C$11,0.10)))</f>
        <v/>
      </c>
      <c r="H979" s="32">
        <f>MAX(0.02,MIN(0.98,NORMINV(RAND(),$C$13,0.15)))</f>
        <v/>
      </c>
      <c r="I979" s="32">
        <f>MAX(0,NORMINV(RAND(),$C$14,0.033))</f>
        <v/>
      </c>
      <c r="J979" s="33">
        <f>($C$7*$C$8/365)*F979</f>
        <v/>
      </c>
      <c r="K979" s="33">
        <f>$C$7*G979*$C$12*H979</f>
        <v/>
      </c>
      <c r="L979" s="33">
        <f>$C$7*I979*$C$15</f>
        <v/>
      </c>
      <c r="M979" s="33">
        <f>J979-K979-L979</f>
        <v/>
      </c>
    </row>
    <row r="980">
      <c r="E980" s="20" t="n">
        <v>972</v>
      </c>
      <c r="F980" s="32">
        <f>MAX(0.03,MIN(0.18,NORMINV(RAND(),$C$9,$C$10)))</f>
        <v/>
      </c>
      <c r="G980" s="32">
        <f>MAX(0.02,MIN(0.9,NORMINV(RAND(),$C$11,0.10)))</f>
        <v/>
      </c>
      <c r="H980" s="32">
        <f>MAX(0.02,MIN(0.98,NORMINV(RAND(),$C$13,0.15)))</f>
        <v/>
      </c>
      <c r="I980" s="32">
        <f>MAX(0,NORMINV(RAND(),$C$14,0.033))</f>
        <v/>
      </c>
      <c r="J980" s="33">
        <f>($C$7*$C$8/365)*F980</f>
        <v/>
      </c>
      <c r="K980" s="33">
        <f>$C$7*G980*$C$12*H980</f>
        <v/>
      </c>
      <c r="L980" s="33">
        <f>$C$7*I980*$C$15</f>
        <v/>
      </c>
      <c r="M980" s="33">
        <f>J980-K980-L980</f>
        <v/>
      </c>
    </row>
    <row r="981">
      <c r="E981" s="20" t="n">
        <v>973</v>
      </c>
      <c r="F981" s="32">
        <f>MAX(0.03,MIN(0.18,NORMINV(RAND(),$C$9,$C$10)))</f>
        <v/>
      </c>
      <c r="G981" s="32">
        <f>MAX(0.02,MIN(0.9,NORMINV(RAND(),$C$11,0.10)))</f>
        <v/>
      </c>
      <c r="H981" s="32">
        <f>MAX(0.02,MIN(0.98,NORMINV(RAND(),$C$13,0.15)))</f>
        <v/>
      </c>
      <c r="I981" s="32">
        <f>MAX(0,NORMINV(RAND(),$C$14,0.033))</f>
        <v/>
      </c>
      <c r="J981" s="33">
        <f>($C$7*$C$8/365)*F981</f>
        <v/>
      </c>
      <c r="K981" s="33">
        <f>$C$7*G981*$C$12*H981</f>
        <v/>
      </c>
      <c r="L981" s="33">
        <f>$C$7*I981*$C$15</f>
        <v/>
      </c>
      <c r="M981" s="33">
        <f>J981-K981-L981</f>
        <v/>
      </c>
    </row>
    <row r="982">
      <c r="E982" s="20" t="n">
        <v>974</v>
      </c>
      <c r="F982" s="32">
        <f>MAX(0.03,MIN(0.18,NORMINV(RAND(),$C$9,$C$10)))</f>
        <v/>
      </c>
      <c r="G982" s="32">
        <f>MAX(0.02,MIN(0.9,NORMINV(RAND(),$C$11,0.10)))</f>
        <v/>
      </c>
      <c r="H982" s="32">
        <f>MAX(0.02,MIN(0.98,NORMINV(RAND(),$C$13,0.15)))</f>
        <v/>
      </c>
      <c r="I982" s="32">
        <f>MAX(0,NORMINV(RAND(),$C$14,0.033))</f>
        <v/>
      </c>
      <c r="J982" s="33">
        <f>($C$7*$C$8/365)*F982</f>
        <v/>
      </c>
      <c r="K982" s="33">
        <f>$C$7*G982*$C$12*H982</f>
        <v/>
      </c>
      <c r="L982" s="33">
        <f>$C$7*I982*$C$15</f>
        <v/>
      </c>
      <c r="M982" s="33">
        <f>J982-K982-L982</f>
        <v/>
      </c>
    </row>
    <row r="983">
      <c r="E983" s="20" t="n">
        <v>975</v>
      </c>
      <c r="F983" s="32">
        <f>MAX(0.03,MIN(0.18,NORMINV(RAND(),$C$9,$C$10)))</f>
        <v/>
      </c>
      <c r="G983" s="32">
        <f>MAX(0.02,MIN(0.9,NORMINV(RAND(),$C$11,0.10)))</f>
        <v/>
      </c>
      <c r="H983" s="32">
        <f>MAX(0.02,MIN(0.98,NORMINV(RAND(),$C$13,0.15)))</f>
        <v/>
      </c>
      <c r="I983" s="32">
        <f>MAX(0,NORMINV(RAND(),$C$14,0.033))</f>
        <v/>
      </c>
      <c r="J983" s="33">
        <f>($C$7*$C$8/365)*F983</f>
        <v/>
      </c>
      <c r="K983" s="33">
        <f>$C$7*G983*$C$12*H983</f>
        <v/>
      </c>
      <c r="L983" s="33">
        <f>$C$7*I983*$C$15</f>
        <v/>
      </c>
      <c r="M983" s="33">
        <f>J983-K983-L983</f>
        <v/>
      </c>
    </row>
    <row r="984">
      <c r="E984" s="20" t="n">
        <v>976</v>
      </c>
      <c r="F984" s="32">
        <f>MAX(0.03,MIN(0.18,NORMINV(RAND(),$C$9,$C$10)))</f>
        <v/>
      </c>
      <c r="G984" s="32">
        <f>MAX(0.02,MIN(0.9,NORMINV(RAND(),$C$11,0.10)))</f>
        <v/>
      </c>
      <c r="H984" s="32">
        <f>MAX(0.02,MIN(0.98,NORMINV(RAND(),$C$13,0.15)))</f>
        <v/>
      </c>
      <c r="I984" s="32">
        <f>MAX(0,NORMINV(RAND(),$C$14,0.033))</f>
        <v/>
      </c>
      <c r="J984" s="33">
        <f>($C$7*$C$8/365)*F984</f>
        <v/>
      </c>
      <c r="K984" s="33">
        <f>$C$7*G984*$C$12*H984</f>
        <v/>
      </c>
      <c r="L984" s="33">
        <f>$C$7*I984*$C$15</f>
        <v/>
      </c>
      <c r="M984" s="33">
        <f>J984-K984-L984</f>
        <v/>
      </c>
    </row>
    <row r="985">
      <c r="E985" s="20" t="n">
        <v>977</v>
      </c>
      <c r="F985" s="32">
        <f>MAX(0.03,MIN(0.18,NORMINV(RAND(),$C$9,$C$10)))</f>
        <v/>
      </c>
      <c r="G985" s="32">
        <f>MAX(0.02,MIN(0.9,NORMINV(RAND(),$C$11,0.10)))</f>
        <v/>
      </c>
      <c r="H985" s="32">
        <f>MAX(0.02,MIN(0.98,NORMINV(RAND(),$C$13,0.15)))</f>
        <v/>
      </c>
      <c r="I985" s="32">
        <f>MAX(0,NORMINV(RAND(),$C$14,0.033))</f>
        <v/>
      </c>
      <c r="J985" s="33">
        <f>($C$7*$C$8/365)*F985</f>
        <v/>
      </c>
      <c r="K985" s="33">
        <f>$C$7*G985*$C$12*H985</f>
        <v/>
      </c>
      <c r="L985" s="33">
        <f>$C$7*I985*$C$15</f>
        <v/>
      </c>
      <c r="M985" s="33">
        <f>J985-K985-L985</f>
        <v/>
      </c>
    </row>
    <row r="986">
      <c r="E986" s="20" t="n">
        <v>978</v>
      </c>
      <c r="F986" s="32">
        <f>MAX(0.03,MIN(0.18,NORMINV(RAND(),$C$9,$C$10)))</f>
        <v/>
      </c>
      <c r="G986" s="32">
        <f>MAX(0.02,MIN(0.9,NORMINV(RAND(),$C$11,0.10)))</f>
        <v/>
      </c>
      <c r="H986" s="32">
        <f>MAX(0.02,MIN(0.98,NORMINV(RAND(),$C$13,0.15)))</f>
        <v/>
      </c>
      <c r="I986" s="32">
        <f>MAX(0,NORMINV(RAND(),$C$14,0.033))</f>
        <v/>
      </c>
      <c r="J986" s="33">
        <f>($C$7*$C$8/365)*F986</f>
        <v/>
      </c>
      <c r="K986" s="33">
        <f>$C$7*G986*$C$12*H986</f>
        <v/>
      </c>
      <c r="L986" s="33">
        <f>$C$7*I986*$C$15</f>
        <v/>
      </c>
      <c r="M986" s="33">
        <f>J986-K986-L986</f>
        <v/>
      </c>
    </row>
    <row r="987">
      <c r="E987" s="20" t="n">
        <v>979</v>
      </c>
      <c r="F987" s="32">
        <f>MAX(0.03,MIN(0.18,NORMINV(RAND(),$C$9,$C$10)))</f>
        <v/>
      </c>
      <c r="G987" s="32">
        <f>MAX(0.02,MIN(0.9,NORMINV(RAND(),$C$11,0.10)))</f>
        <v/>
      </c>
      <c r="H987" s="32">
        <f>MAX(0.02,MIN(0.98,NORMINV(RAND(),$C$13,0.15)))</f>
        <v/>
      </c>
      <c r="I987" s="32">
        <f>MAX(0,NORMINV(RAND(),$C$14,0.033))</f>
        <v/>
      </c>
      <c r="J987" s="33">
        <f>($C$7*$C$8/365)*F987</f>
        <v/>
      </c>
      <c r="K987" s="33">
        <f>$C$7*G987*$C$12*H987</f>
        <v/>
      </c>
      <c r="L987" s="33">
        <f>$C$7*I987*$C$15</f>
        <v/>
      </c>
      <c r="M987" s="33">
        <f>J987-K987-L987</f>
        <v/>
      </c>
    </row>
    <row r="988">
      <c r="E988" s="20" t="n">
        <v>980</v>
      </c>
      <c r="F988" s="32">
        <f>MAX(0.03,MIN(0.18,NORMINV(RAND(),$C$9,$C$10)))</f>
        <v/>
      </c>
      <c r="G988" s="32">
        <f>MAX(0.02,MIN(0.9,NORMINV(RAND(),$C$11,0.10)))</f>
        <v/>
      </c>
      <c r="H988" s="32">
        <f>MAX(0.02,MIN(0.98,NORMINV(RAND(),$C$13,0.15)))</f>
        <v/>
      </c>
      <c r="I988" s="32">
        <f>MAX(0,NORMINV(RAND(),$C$14,0.033))</f>
        <v/>
      </c>
      <c r="J988" s="33">
        <f>($C$7*$C$8/365)*F988</f>
        <v/>
      </c>
      <c r="K988" s="33">
        <f>$C$7*G988*$C$12*H988</f>
        <v/>
      </c>
      <c r="L988" s="33">
        <f>$C$7*I988*$C$15</f>
        <v/>
      </c>
      <c r="M988" s="33">
        <f>J988-K988-L988</f>
        <v/>
      </c>
    </row>
    <row r="989">
      <c r="E989" s="20" t="n">
        <v>981</v>
      </c>
      <c r="F989" s="32">
        <f>MAX(0.03,MIN(0.18,NORMINV(RAND(),$C$9,$C$10)))</f>
        <v/>
      </c>
      <c r="G989" s="32">
        <f>MAX(0.02,MIN(0.9,NORMINV(RAND(),$C$11,0.10)))</f>
        <v/>
      </c>
      <c r="H989" s="32">
        <f>MAX(0.02,MIN(0.98,NORMINV(RAND(),$C$13,0.15)))</f>
        <v/>
      </c>
      <c r="I989" s="32">
        <f>MAX(0,NORMINV(RAND(),$C$14,0.033))</f>
        <v/>
      </c>
      <c r="J989" s="33">
        <f>($C$7*$C$8/365)*F989</f>
        <v/>
      </c>
      <c r="K989" s="33">
        <f>$C$7*G989*$C$12*H989</f>
        <v/>
      </c>
      <c r="L989" s="33">
        <f>$C$7*I989*$C$15</f>
        <v/>
      </c>
      <c r="M989" s="33">
        <f>J989-K989-L989</f>
        <v/>
      </c>
    </row>
    <row r="990">
      <c r="E990" s="20" t="n">
        <v>982</v>
      </c>
      <c r="F990" s="32">
        <f>MAX(0.03,MIN(0.18,NORMINV(RAND(),$C$9,$C$10)))</f>
        <v/>
      </c>
      <c r="G990" s="32">
        <f>MAX(0.02,MIN(0.9,NORMINV(RAND(),$C$11,0.10)))</f>
        <v/>
      </c>
      <c r="H990" s="32">
        <f>MAX(0.02,MIN(0.98,NORMINV(RAND(),$C$13,0.15)))</f>
        <v/>
      </c>
      <c r="I990" s="32">
        <f>MAX(0,NORMINV(RAND(),$C$14,0.033))</f>
        <v/>
      </c>
      <c r="J990" s="33">
        <f>($C$7*$C$8/365)*F990</f>
        <v/>
      </c>
      <c r="K990" s="33">
        <f>$C$7*G990*$C$12*H990</f>
        <v/>
      </c>
      <c r="L990" s="33">
        <f>$C$7*I990*$C$15</f>
        <v/>
      </c>
      <c r="M990" s="33">
        <f>J990-K990-L990</f>
        <v/>
      </c>
    </row>
    <row r="991">
      <c r="E991" s="20" t="n">
        <v>983</v>
      </c>
      <c r="F991" s="32">
        <f>MAX(0.03,MIN(0.18,NORMINV(RAND(),$C$9,$C$10)))</f>
        <v/>
      </c>
      <c r="G991" s="32">
        <f>MAX(0.02,MIN(0.9,NORMINV(RAND(),$C$11,0.10)))</f>
        <v/>
      </c>
      <c r="H991" s="32">
        <f>MAX(0.02,MIN(0.98,NORMINV(RAND(),$C$13,0.15)))</f>
        <v/>
      </c>
      <c r="I991" s="32">
        <f>MAX(0,NORMINV(RAND(),$C$14,0.033))</f>
        <v/>
      </c>
      <c r="J991" s="33">
        <f>($C$7*$C$8/365)*F991</f>
        <v/>
      </c>
      <c r="K991" s="33">
        <f>$C$7*G991*$C$12*H991</f>
        <v/>
      </c>
      <c r="L991" s="33">
        <f>$C$7*I991*$C$15</f>
        <v/>
      </c>
      <c r="M991" s="33">
        <f>J991-K991-L991</f>
        <v/>
      </c>
    </row>
    <row r="992">
      <c r="E992" s="20" t="n">
        <v>984</v>
      </c>
      <c r="F992" s="32">
        <f>MAX(0.03,MIN(0.18,NORMINV(RAND(),$C$9,$C$10)))</f>
        <v/>
      </c>
      <c r="G992" s="32">
        <f>MAX(0.02,MIN(0.9,NORMINV(RAND(),$C$11,0.10)))</f>
        <v/>
      </c>
      <c r="H992" s="32">
        <f>MAX(0.02,MIN(0.98,NORMINV(RAND(),$C$13,0.15)))</f>
        <v/>
      </c>
      <c r="I992" s="32">
        <f>MAX(0,NORMINV(RAND(),$C$14,0.033))</f>
        <v/>
      </c>
      <c r="J992" s="33">
        <f>($C$7*$C$8/365)*F992</f>
        <v/>
      </c>
      <c r="K992" s="33">
        <f>$C$7*G992*$C$12*H992</f>
        <v/>
      </c>
      <c r="L992" s="33">
        <f>$C$7*I992*$C$15</f>
        <v/>
      </c>
      <c r="M992" s="33">
        <f>J992-K992-L992</f>
        <v/>
      </c>
    </row>
    <row r="993">
      <c r="E993" s="20" t="n">
        <v>985</v>
      </c>
      <c r="F993" s="32">
        <f>MAX(0.03,MIN(0.18,NORMINV(RAND(),$C$9,$C$10)))</f>
        <v/>
      </c>
      <c r="G993" s="32">
        <f>MAX(0.02,MIN(0.9,NORMINV(RAND(),$C$11,0.10)))</f>
        <v/>
      </c>
      <c r="H993" s="32">
        <f>MAX(0.02,MIN(0.98,NORMINV(RAND(),$C$13,0.15)))</f>
        <v/>
      </c>
      <c r="I993" s="32">
        <f>MAX(0,NORMINV(RAND(),$C$14,0.033))</f>
        <v/>
      </c>
      <c r="J993" s="33">
        <f>($C$7*$C$8/365)*F993</f>
        <v/>
      </c>
      <c r="K993" s="33">
        <f>$C$7*G993*$C$12*H993</f>
        <v/>
      </c>
      <c r="L993" s="33">
        <f>$C$7*I993*$C$15</f>
        <v/>
      </c>
      <c r="M993" s="33">
        <f>J993-K993-L993</f>
        <v/>
      </c>
    </row>
    <row r="994">
      <c r="E994" s="20" t="n">
        <v>986</v>
      </c>
      <c r="F994" s="32">
        <f>MAX(0.03,MIN(0.18,NORMINV(RAND(),$C$9,$C$10)))</f>
        <v/>
      </c>
      <c r="G994" s="32">
        <f>MAX(0.02,MIN(0.9,NORMINV(RAND(),$C$11,0.10)))</f>
        <v/>
      </c>
      <c r="H994" s="32">
        <f>MAX(0.02,MIN(0.98,NORMINV(RAND(),$C$13,0.15)))</f>
        <v/>
      </c>
      <c r="I994" s="32">
        <f>MAX(0,NORMINV(RAND(),$C$14,0.033))</f>
        <v/>
      </c>
      <c r="J994" s="33">
        <f>($C$7*$C$8/365)*F994</f>
        <v/>
      </c>
      <c r="K994" s="33">
        <f>$C$7*G994*$C$12*H994</f>
        <v/>
      </c>
      <c r="L994" s="33">
        <f>$C$7*I994*$C$15</f>
        <v/>
      </c>
      <c r="M994" s="33">
        <f>J994-K994-L994</f>
        <v/>
      </c>
    </row>
    <row r="995">
      <c r="E995" s="20" t="n">
        <v>987</v>
      </c>
      <c r="F995" s="32">
        <f>MAX(0.03,MIN(0.18,NORMINV(RAND(),$C$9,$C$10)))</f>
        <v/>
      </c>
      <c r="G995" s="32">
        <f>MAX(0.02,MIN(0.9,NORMINV(RAND(),$C$11,0.10)))</f>
        <v/>
      </c>
      <c r="H995" s="32">
        <f>MAX(0.02,MIN(0.98,NORMINV(RAND(),$C$13,0.15)))</f>
        <v/>
      </c>
      <c r="I995" s="32">
        <f>MAX(0,NORMINV(RAND(),$C$14,0.033))</f>
        <v/>
      </c>
      <c r="J995" s="33">
        <f>($C$7*$C$8/365)*F995</f>
        <v/>
      </c>
      <c r="K995" s="33">
        <f>$C$7*G995*$C$12*H995</f>
        <v/>
      </c>
      <c r="L995" s="33">
        <f>$C$7*I995*$C$15</f>
        <v/>
      </c>
      <c r="M995" s="33">
        <f>J995-K995-L995</f>
        <v/>
      </c>
    </row>
    <row r="996">
      <c r="E996" s="20" t="n">
        <v>988</v>
      </c>
      <c r="F996" s="32">
        <f>MAX(0.03,MIN(0.18,NORMINV(RAND(),$C$9,$C$10)))</f>
        <v/>
      </c>
      <c r="G996" s="32">
        <f>MAX(0.02,MIN(0.9,NORMINV(RAND(),$C$11,0.10)))</f>
        <v/>
      </c>
      <c r="H996" s="32">
        <f>MAX(0.02,MIN(0.98,NORMINV(RAND(),$C$13,0.15)))</f>
        <v/>
      </c>
      <c r="I996" s="32">
        <f>MAX(0,NORMINV(RAND(),$C$14,0.033))</f>
        <v/>
      </c>
      <c r="J996" s="33">
        <f>($C$7*$C$8/365)*F996</f>
        <v/>
      </c>
      <c r="K996" s="33">
        <f>$C$7*G996*$C$12*H996</f>
        <v/>
      </c>
      <c r="L996" s="33">
        <f>$C$7*I996*$C$15</f>
        <v/>
      </c>
      <c r="M996" s="33">
        <f>J996-K996-L996</f>
        <v/>
      </c>
    </row>
    <row r="997">
      <c r="E997" s="20" t="n">
        <v>989</v>
      </c>
      <c r="F997" s="32">
        <f>MAX(0.03,MIN(0.18,NORMINV(RAND(),$C$9,$C$10)))</f>
        <v/>
      </c>
      <c r="G997" s="32">
        <f>MAX(0.02,MIN(0.9,NORMINV(RAND(),$C$11,0.10)))</f>
        <v/>
      </c>
      <c r="H997" s="32">
        <f>MAX(0.02,MIN(0.98,NORMINV(RAND(),$C$13,0.15)))</f>
        <v/>
      </c>
      <c r="I997" s="32">
        <f>MAX(0,NORMINV(RAND(),$C$14,0.033))</f>
        <v/>
      </c>
      <c r="J997" s="33">
        <f>($C$7*$C$8/365)*F997</f>
        <v/>
      </c>
      <c r="K997" s="33">
        <f>$C$7*G997*$C$12*H997</f>
        <v/>
      </c>
      <c r="L997" s="33">
        <f>$C$7*I997*$C$15</f>
        <v/>
      </c>
      <c r="M997" s="33">
        <f>J997-K997-L997</f>
        <v/>
      </c>
    </row>
    <row r="998">
      <c r="E998" s="20" t="n">
        <v>990</v>
      </c>
      <c r="F998" s="32">
        <f>MAX(0.03,MIN(0.18,NORMINV(RAND(),$C$9,$C$10)))</f>
        <v/>
      </c>
      <c r="G998" s="32">
        <f>MAX(0.02,MIN(0.9,NORMINV(RAND(),$C$11,0.10)))</f>
        <v/>
      </c>
      <c r="H998" s="32">
        <f>MAX(0.02,MIN(0.98,NORMINV(RAND(),$C$13,0.15)))</f>
        <v/>
      </c>
      <c r="I998" s="32">
        <f>MAX(0,NORMINV(RAND(),$C$14,0.033))</f>
        <v/>
      </c>
      <c r="J998" s="33">
        <f>($C$7*$C$8/365)*F998</f>
        <v/>
      </c>
      <c r="K998" s="33">
        <f>$C$7*G998*$C$12*H998</f>
        <v/>
      </c>
      <c r="L998" s="33">
        <f>$C$7*I998*$C$15</f>
        <v/>
      </c>
      <c r="M998" s="33">
        <f>J998-K998-L998</f>
        <v/>
      </c>
    </row>
    <row r="999">
      <c r="E999" s="20" t="n">
        <v>991</v>
      </c>
      <c r="F999" s="32">
        <f>MAX(0.03,MIN(0.18,NORMINV(RAND(),$C$9,$C$10)))</f>
        <v/>
      </c>
      <c r="G999" s="32">
        <f>MAX(0.02,MIN(0.9,NORMINV(RAND(),$C$11,0.10)))</f>
        <v/>
      </c>
      <c r="H999" s="32">
        <f>MAX(0.02,MIN(0.98,NORMINV(RAND(),$C$13,0.15)))</f>
        <v/>
      </c>
      <c r="I999" s="32">
        <f>MAX(0,NORMINV(RAND(),$C$14,0.033))</f>
        <v/>
      </c>
      <c r="J999" s="33">
        <f>($C$7*$C$8/365)*F999</f>
        <v/>
      </c>
      <c r="K999" s="33">
        <f>$C$7*G999*$C$12*H999</f>
        <v/>
      </c>
      <c r="L999" s="33">
        <f>$C$7*I999*$C$15</f>
        <v/>
      </c>
      <c r="M999" s="33">
        <f>J999-K999-L999</f>
        <v/>
      </c>
    </row>
    <row r="1000">
      <c r="E1000" s="20" t="n">
        <v>992</v>
      </c>
      <c r="F1000" s="32">
        <f>MAX(0.03,MIN(0.18,NORMINV(RAND(),$C$9,$C$10)))</f>
        <v/>
      </c>
      <c r="G1000" s="32">
        <f>MAX(0.02,MIN(0.9,NORMINV(RAND(),$C$11,0.10)))</f>
        <v/>
      </c>
      <c r="H1000" s="32">
        <f>MAX(0.02,MIN(0.98,NORMINV(RAND(),$C$13,0.15)))</f>
        <v/>
      </c>
      <c r="I1000" s="32">
        <f>MAX(0,NORMINV(RAND(),$C$14,0.033))</f>
        <v/>
      </c>
      <c r="J1000" s="33">
        <f>($C$7*$C$8/365)*F1000</f>
        <v/>
      </c>
      <c r="K1000" s="33">
        <f>$C$7*G1000*$C$12*H1000</f>
        <v/>
      </c>
      <c r="L1000" s="33">
        <f>$C$7*I1000*$C$15</f>
        <v/>
      </c>
      <c r="M1000" s="33">
        <f>J1000-K1000-L1000</f>
        <v/>
      </c>
    </row>
    <row r="1001">
      <c r="E1001" s="20" t="n">
        <v>993</v>
      </c>
      <c r="F1001" s="32">
        <f>MAX(0.03,MIN(0.18,NORMINV(RAND(),$C$9,$C$10)))</f>
        <v/>
      </c>
      <c r="G1001" s="32">
        <f>MAX(0.02,MIN(0.9,NORMINV(RAND(),$C$11,0.10)))</f>
        <v/>
      </c>
      <c r="H1001" s="32">
        <f>MAX(0.02,MIN(0.98,NORMINV(RAND(),$C$13,0.15)))</f>
        <v/>
      </c>
      <c r="I1001" s="32">
        <f>MAX(0,NORMINV(RAND(),$C$14,0.033))</f>
        <v/>
      </c>
      <c r="J1001" s="33">
        <f>($C$7*$C$8/365)*F1001</f>
        <v/>
      </c>
      <c r="K1001" s="33">
        <f>$C$7*G1001*$C$12*H1001</f>
        <v/>
      </c>
      <c r="L1001" s="33">
        <f>$C$7*I1001*$C$15</f>
        <v/>
      </c>
      <c r="M1001" s="33">
        <f>J1001-K1001-L1001</f>
        <v/>
      </c>
    </row>
    <row r="1002">
      <c r="E1002" s="20" t="n">
        <v>994</v>
      </c>
      <c r="F1002" s="32">
        <f>MAX(0.03,MIN(0.18,NORMINV(RAND(),$C$9,$C$10)))</f>
        <v/>
      </c>
      <c r="G1002" s="32">
        <f>MAX(0.02,MIN(0.9,NORMINV(RAND(),$C$11,0.10)))</f>
        <v/>
      </c>
      <c r="H1002" s="32">
        <f>MAX(0.02,MIN(0.98,NORMINV(RAND(),$C$13,0.15)))</f>
        <v/>
      </c>
      <c r="I1002" s="32">
        <f>MAX(0,NORMINV(RAND(),$C$14,0.033))</f>
        <v/>
      </c>
      <c r="J1002" s="33">
        <f>($C$7*$C$8/365)*F1002</f>
        <v/>
      </c>
      <c r="K1002" s="33">
        <f>$C$7*G1002*$C$12*H1002</f>
        <v/>
      </c>
      <c r="L1002" s="33">
        <f>$C$7*I1002*$C$15</f>
        <v/>
      </c>
      <c r="M1002" s="33">
        <f>J1002-K1002-L1002</f>
        <v/>
      </c>
    </row>
    <row r="1003">
      <c r="E1003" s="20" t="n">
        <v>995</v>
      </c>
      <c r="F1003" s="32">
        <f>MAX(0.03,MIN(0.18,NORMINV(RAND(),$C$9,$C$10)))</f>
        <v/>
      </c>
      <c r="G1003" s="32">
        <f>MAX(0.02,MIN(0.9,NORMINV(RAND(),$C$11,0.10)))</f>
        <v/>
      </c>
      <c r="H1003" s="32">
        <f>MAX(0.02,MIN(0.98,NORMINV(RAND(),$C$13,0.15)))</f>
        <v/>
      </c>
      <c r="I1003" s="32">
        <f>MAX(0,NORMINV(RAND(),$C$14,0.033))</f>
        <v/>
      </c>
      <c r="J1003" s="33">
        <f>($C$7*$C$8/365)*F1003</f>
        <v/>
      </c>
      <c r="K1003" s="33">
        <f>$C$7*G1003*$C$12*H1003</f>
        <v/>
      </c>
      <c r="L1003" s="33">
        <f>$C$7*I1003*$C$15</f>
        <v/>
      </c>
      <c r="M1003" s="33">
        <f>J1003-K1003-L1003</f>
        <v/>
      </c>
    </row>
    <row r="1004">
      <c r="E1004" s="20" t="n">
        <v>996</v>
      </c>
      <c r="F1004" s="32">
        <f>MAX(0.03,MIN(0.18,NORMINV(RAND(),$C$9,$C$10)))</f>
        <v/>
      </c>
      <c r="G1004" s="32">
        <f>MAX(0.02,MIN(0.9,NORMINV(RAND(),$C$11,0.10)))</f>
        <v/>
      </c>
      <c r="H1004" s="32">
        <f>MAX(0.02,MIN(0.98,NORMINV(RAND(),$C$13,0.15)))</f>
        <v/>
      </c>
      <c r="I1004" s="32">
        <f>MAX(0,NORMINV(RAND(),$C$14,0.033))</f>
        <v/>
      </c>
      <c r="J1004" s="33">
        <f>($C$7*$C$8/365)*F1004</f>
        <v/>
      </c>
      <c r="K1004" s="33">
        <f>$C$7*G1004*$C$12*H1004</f>
        <v/>
      </c>
      <c r="L1004" s="33">
        <f>$C$7*I1004*$C$15</f>
        <v/>
      </c>
      <c r="M1004" s="33">
        <f>J1004-K1004-L1004</f>
        <v/>
      </c>
    </row>
    <row r="1005">
      <c r="E1005" s="20" t="n">
        <v>997</v>
      </c>
      <c r="F1005" s="32">
        <f>MAX(0.03,MIN(0.18,NORMINV(RAND(),$C$9,$C$10)))</f>
        <v/>
      </c>
      <c r="G1005" s="32">
        <f>MAX(0.02,MIN(0.9,NORMINV(RAND(),$C$11,0.10)))</f>
        <v/>
      </c>
      <c r="H1005" s="32">
        <f>MAX(0.02,MIN(0.98,NORMINV(RAND(),$C$13,0.15)))</f>
        <v/>
      </c>
      <c r="I1005" s="32">
        <f>MAX(0,NORMINV(RAND(),$C$14,0.033))</f>
        <v/>
      </c>
      <c r="J1005" s="33">
        <f>($C$7*$C$8/365)*F1005</f>
        <v/>
      </c>
      <c r="K1005" s="33">
        <f>$C$7*G1005*$C$12*H1005</f>
        <v/>
      </c>
      <c r="L1005" s="33">
        <f>$C$7*I1005*$C$15</f>
        <v/>
      </c>
      <c r="M1005" s="33">
        <f>J1005-K1005-L1005</f>
        <v/>
      </c>
    </row>
    <row r="1006">
      <c r="E1006" s="20" t="n">
        <v>998</v>
      </c>
      <c r="F1006" s="32">
        <f>MAX(0.03,MIN(0.18,NORMINV(RAND(),$C$9,$C$10)))</f>
        <v/>
      </c>
      <c r="G1006" s="32">
        <f>MAX(0.02,MIN(0.9,NORMINV(RAND(),$C$11,0.10)))</f>
        <v/>
      </c>
      <c r="H1006" s="32">
        <f>MAX(0.02,MIN(0.98,NORMINV(RAND(),$C$13,0.15)))</f>
        <v/>
      </c>
      <c r="I1006" s="32">
        <f>MAX(0,NORMINV(RAND(),$C$14,0.033))</f>
        <v/>
      </c>
      <c r="J1006" s="33">
        <f>($C$7*$C$8/365)*F1006</f>
        <v/>
      </c>
      <c r="K1006" s="33">
        <f>$C$7*G1006*$C$12*H1006</f>
        <v/>
      </c>
      <c r="L1006" s="33">
        <f>$C$7*I1006*$C$15</f>
        <v/>
      </c>
      <c r="M1006" s="33">
        <f>J1006-K1006-L1006</f>
        <v/>
      </c>
    </row>
    <row r="1007">
      <c r="E1007" s="20" t="n">
        <v>999</v>
      </c>
      <c r="F1007" s="32">
        <f>MAX(0.03,MIN(0.18,NORMINV(RAND(),$C$9,$C$10)))</f>
        <v/>
      </c>
      <c r="G1007" s="32">
        <f>MAX(0.02,MIN(0.9,NORMINV(RAND(),$C$11,0.10)))</f>
        <v/>
      </c>
      <c r="H1007" s="32">
        <f>MAX(0.02,MIN(0.98,NORMINV(RAND(),$C$13,0.15)))</f>
        <v/>
      </c>
      <c r="I1007" s="32">
        <f>MAX(0,NORMINV(RAND(),$C$14,0.033))</f>
        <v/>
      </c>
      <c r="J1007" s="33">
        <f>($C$7*$C$8/365)*F1007</f>
        <v/>
      </c>
      <c r="K1007" s="33">
        <f>$C$7*G1007*$C$12*H1007</f>
        <v/>
      </c>
      <c r="L1007" s="33">
        <f>$C$7*I1007*$C$15</f>
        <v/>
      </c>
      <c r="M1007" s="33">
        <f>J1007-K1007-L1007</f>
        <v/>
      </c>
    </row>
    <row r="1008">
      <c r="E1008" s="20" t="n">
        <v>1000</v>
      </c>
      <c r="F1008" s="32">
        <f>MAX(0.03,MIN(0.18,NORMINV(RAND(),$C$9,$C$10)))</f>
        <v/>
      </c>
      <c r="G1008" s="32">
        <f>MAX(0.02,MIN(0.9,NORMINV(RAND(),$C$11,0.10)))</f>
        <v/>
      </c>
      <c r="H1008" s="32">
        <f>MAX(0.02,MIN(0.98,NORMINV(RAND(),$C$13,0.15)))</f>
        <v/>
      </c>
      <c r="I1008" s="32">
        <f>MAX(0,NORMINV(RAND(),$C$14,0.033))</f>
        <v/>
      </c>
      <c r="J1008" s="33">
        <f>($C$7*$C$8/365)*F1008</f>
        <v/>
      </c>
      <c r="K1008" s="33">
        <f>$C$7*G1008*$C$12*H1008</f>
        <v/>
      </c>
      <c r="L1008" s="33">
        <f>$C$7*I1008*$C$15</f>
        <v/>
      </c>
      <c r="M1008" s="33">
        <f>J1008-K1008-L1008</f>
        <v/>
      </c>
    </row>
  </sheetData>
  <mergeCells count="5">
    <mergeCell ref="A19:C19"/>
    <mergeCell ref="A2:H2"/>
    <mergeCell ref="A6:C6"/>
    <mergeCell ref="E6:K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2026-08-27T08:23:04Z</dcterms:created>
  <dcterms:modified xsi:type="dcterms:W3CDTF">2026-08-27T08:23:05Z</dcterms:modified>
</cp:coreProperties>
</file>